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CTURA07\Desktop\2025\DIAGNOSTICA_25_26\FORMATOS VALORACIONES\"/>
    </mc:Choice>
  </mc:AlternateContent>
  <xr:revisionPtr revIDLastSave="0" documentId="13_ncr:1_{E5E88C52-B6C4-4BF3-A523-93F79C60274C}" xr6:coauthVersionLast="47" xr6:coauthVersionMax="47" xr10:uidLastSave="{00000000-0000-0000-0000-000000000000}"/>
  <workbookProtection workbookAlgorithmName="SHA-512" workbookHashValue="75tN2ibKJzeeoJC6Wb+xbHTL7p3x5QMPFKUWln6rZK3TDmjdrt59G1xIYMYinbLqFABcivw0mql3CdC1cCAVdw==" workbookSaltValue="2TN5noxXb3b168b9Wx3xsA==" workbookSpinCount="100000" lockStructure="1"/>
  <bookViews>
    <workbookView xWindow="-120" yWindow="-120" windowWidth="29040" windowHeight="15840" tabRatio="638" activeTab="7" xr2:uid="{1507B52E-83BE-448C-BFFB-10AFD5F4186E}"/>
  </bookViews>
  <sheets>
    <sheet name="ESC" sheetId="8" r:id="rId1"/>
    <sheet name="PRIMERO" sheetId="1" r:id="rId2"/>
    <sheet name="SEGUNDO" sheetId="9" r:id="rId3"/>
    <sheet name="TERCERO" sheetId="3" r:id="rId4"/>
    <sheet name="CUARTO" sheetId="10" r:id="rId5"/>
    <sheet name="QUINTO" sheetId="5" r:id="rId6"/>
    <sheet name="SEXTO" sheetId="11" r:id="rId7"/>
    <sheet name="INSTRUCCIONES" sheetId="12" r:id="rId8"/>
  </sheets>
  <definedNames>
    <definedName name="_xlnm.Print_Area" localSheetId="0">ESC!#REF!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1" l="1"/>
  <c r="C4" i="11"/>
  <c r="H4" i="5"/>
  <c r="C4" i="5"/>
  <c r="H4" i="10"/>
  <c r="C4" i="10"/>
  <c r="H4" i="3"/>
  <c r="C4" i="3"/>
  <c r="H4" i="9"/>
  <c r="C4" i="9"/>
  <c r="H4" i="1"/>
  <c r="C4" i="1"/>
  <c r="E43" i="8"/>
  <c r="D43" i="8"/>
  <c r="C43" i="8"/>
  <c r="B43" i="8"/>
</calcChain>
</file>

<file path=xl/sharedStrings.xml><?xml version="1.0" encoding="utf-8"?>
<sst xmlns="http://schemas.openxmlformats.org/spreadsheetml/2006/main" count="242" uniqueCount="89">
  <si>
    <t>CCT</t>
  </si>
  <si>
    <t>TURNO</t>
  </si>
  <si>
    <t>GRADO</t>
  </si>
  <si>
    <t>NÚM. DE LISTA</t>
  </si>
  <si>
    <t>VALORACIÓN ASIGNADA SEGÚN LA RÚBRICA</t>
  </si>
  <si>
    <t>EJERCICIOS INTEGRADORES DEL APRENDIZAJE (EIA)</t>
  </si>
  <si>
    <t>GRUPO</t>
  </si>
  <si>
    <t>1.- LA BASURA DE LA ESCUELA</t>
  </si>
  <si>
    <t>2.- HABLEMOS SOBRE EL AGUA</t>
  </si>
  <si>
    <t>CONSIGNA: 1 INCISO: A1</t>
  </si>
  <si>
    <t>CONSIGNA: 2 INCISO: A1</t>
  </si>
  <si>
    <t>CONSIGNA: 2 INCISO: A2</t>
  </si>
  <si>
    <t>CONSIGNA: 3 INCISO: A1</t>
  </si>
  <si>
    <t>CONSIGNA: 4 INCISO: A1</t>
  </si>
  <si>
    <t>CONSIGNA: 3 INCISO: A2</t>
  </si>
  <si>
    <t>1.- DE ALLÁ VENGO…DE AQUÍ SOY</t>
  </si>
  <si>
    <t>2.- LA FALTA DE AGUA, UN PROBLEMA QUE NOS AFECTA A TODOS</t>
  </si>
  <si>
    <t>CONSIGNA: 1 INCISO: A2</t>
  </si>
  <si>
    <t>CONSIGNA: 1 INCISO: B1</t>
  </si>
  <si>
    <t>CONSIGNA: 1 INCISO: B2</t>
  </si>
  <si>
    <t>CONSIGNA: 1 INCISO: B3</t>
  </si>
  <si>
    <t>CONSIGNA: 2 INCISO: A3</t>
  </si>
  <si>
    <t>CONSIGNA: 2 INCISO: B1</t>
  </si>
  <si>
    <t>CONSIGNA: 3 INCISO: B1</t>
  </si>
  <si>
    <t>CONSIGNA: 4 INCISO: A2</t>
  </si>
  <si>
    <t>CONSIGNA: 4 INCISO: A3</t>
  </si>
  <si>
    <t>CONSIGNA: 3 INCISO: C1</t>
  </si>
  <si>
    <t>CONSIGNA: 3 INCISO: C2</t>
  </si>
  <si>
    <t>CONSIGNA: 4 INCISO: B1</t>
  </si>
  <si>
    <t>CONSIGNA: 5 INCISO: A1</t>
  </si>
  <si>
    <t>CONSIGNA: 5 INCISO: A2</t>
  </si>
  <si>
    <t>CONSIGNA: 5 INCISO: A3</t>
  </si>
  <si>
    <t>1.- SOMOS LO QUE COMEMOS</t>
  </si>
  <si>
    <t>2.- ACTUEMOS CONTRA LA VIOLENCIA INFANTIL Y LA INEQUIDAD DE GÉNERO</t>
  </si>
  <si>
    <t>CONSIGNA: 2 INCISO: C1</t>
  </si>
  <si>
    <t>CONSIGNA: 1 INCISO: C1</t>
  </si>
  <si>
    <t>CONSIGNA: 1 INCISO: C2</t>
  </si>
  <si>
    <t>CONSIGNA: 1 INCISO: C3</t>
  </si>
  <si>
    <t>CONSIGNA: 2 INCISO: D1</t>
  </si>
  <si>
    <t>FORMATO PARA EL REGISTRO DE VALORACIONES</t>
  </si>
  <si>
    <t>CICLO ESCOLAR 2025-2026</t>
  </si>
  <si>
    <t>turno</t>
  </si>
  <si>
    <t>2</t>
  </si>
  <si>
    <t>VESPERTINO</t>
  </si>
  <si>
    <t>3</t>
  </si>
  <si>
    <t>NOCTURNO</t>
  </si>
  <si>
    <t>4</t>
  </si>
  <si>
    <t>DISCONTINUO</t>
  </si>
  <si>
    <t>5</t>
  </si>
  <si>
    <t>PRIMARIA</t>
  </si>
  <si>
    <t>DATOS GENERALES DE LA ESCUELA</t>
  </si>
  <si>
    <t>NOMBRE DE LA ESCUELA :</t>
  </si>
  <si>
    <t xml:space="preserve">TURNO : </t>
  </si>
  <si>
    <t xml:space="preserve">CCT : </t>
  </si>
  <si>
    <t>FASE 3  (1° DE PRIMARIA)</t>
  </si>
  <si>
    <t>FASE 3  (2° DE PRIMARIA)</t>
  </si>
  <si>
    <t>FASE 4  (3° DE PRIMARIA)</t>
  </si>
  <si>
    <t>FASE 4  (4° DE PRIMARIA)</t>
  </si>
  <si>
    <t>FASE 5  (5° DE PRIMARIA)</t>
  </si>
  <si>
    <t>FASE 5  (6° DE PRIMARIA)</t>
  </si>
  <si>
    <t>n_turno</t>
  </si>
  <si>
    <t>1</t>
  </si>
  <si>
    <t>MATUTINO</t>
  </si>
  <si>
    <t>TIEMPO COMPLETO</t>
  </si>
  <si>
    <t>JORNADA AMPLIADA</t>
  </si>
  <si>
    <t>Correo electrónico de contacto</t>
  </si>
  <si>
    <t xml:space="preserve">CORREO: </t>
  </si>
  <si>
    <t>SEXO
H: NIÑO - M: NIÑA</t>
  </si>
  <si>
    <r>
      <t xml:space="preserve">NOMBRE DEL ESTUDIANTE
</t>
    </r>
    <r>
      <rPr>
        <sz val="7"/>
        <color theme="1"/>
        <rFont val="Montserrat"/>
      </rPr>
      <t>(Primer Apellido - Segundo Apellido - Nombre)</t>
    </r>
  </si>
  <si>
    <t>EJERCICIOS INTEGRADORES DEL APRENDIZAJE PARA LAS ALUMNAS Y LOS ALUMNOS DE EDUCACIÓN BÁSICA</t>
  </si>
  <si>
    <t>- Registre un correo electrónico adicional (diferente al que utilizará para enviar su información) al cual se le remitirán los reportes de resultados de los grados y grupos capturados en este formato.</t>
  </si>
  <si>
    <t xml:space="preserve">I M P O R T A N T E </t>
  </si>
  <si>
    <t>- Incluya únicamente estudiantes que hayan respondido los dos EIA.</t>
  </si>
  <si>
    <t>- Verifique que NO falte ningún estudiante participante.</t>
  </si>
  <si>
    <t>- Envíe sólo una vez este formato, para evitar duplicidad de la información.</t>
  </si>
  <si>
    <t>- Cualquier duda o aclaración, escriba a:   dudas.ejercicios@nube.sep.gob.mx</t>
  </si>
  <si>
    <t>INSTRUCCIONES DE LLENADO DE LA HOJA "ESC" PARA DIRECTIVOS</t>
  </si>
  <si>
    <t>- Seleccione el turno de la lista que se despliega al posicionarse en la celda.</t>
  </si>
  <si>
    <t>- Registre el nombre completo de la escuela con mayúsculas.</t>
  </si>
  <si>
    <t>- Debe registrar el número de lista, el sexo o los datos de cada estudiante, ya sea capturándolos de forma individual o mediante la opción de copiar y pegar desde otro archivo de Excel.</t>
  </si>
  <si>
    <t>- Para el registro de las valoraciones NO debe dejar ninguna celda o consigna vacía, las valoraciones validas son 0, 1, 2 y 3.</t>
  </si>
  <si>
    <t>- No alterar la estructura de este archivo de Excel por ningún motivo.</t>
  </si>
  <si>
    <t>- Capture la Clave del Centro de Trabajo de su escuela con mayúsculas, recuerde que está integrada por 10 caracteres. Ejemplo, 01DPR0000A</t>
  </si>
  <si>
    <t>INSTRUCCIONES DE LLENADO DE LAS HOJAS "PRIMERO A SEXTO" PARA DOCENTES</t>
  </si>
  <si>
    <t>- Para guardar y enviar este archivo se sugiere renombrarlo con la clave del centro de trabajo seguido del turno. Ejemplo: 01DPR0000A_T2.XLSX</t>
  </si>
  <si>
    <t>- En las hojas debe registrar todos los alumnos(as) que respondieron los dos EIA de todos los grupos de primero a sexto grado.</t>
  </si>
  <si>
    <r>
      <rPr>
        <b/>
        <sz val="14"/>
        <rFont val="Aptos Narrow"/>
        <family val="2"/>
        <scheme val="minor"/>
      </rPr>
      <t>Antes de iniciar la captura en este formato, dé clic aquí para ver el video explicativo sobre el uso de este formato:</t>
    </r>
    <r>
      <rPr>
        <b/>
        <sz val="14"/>
        <color theme="10"/>
        <rFont val="Aptos Narrow"/>
        <family val="2"/>
        <scheme val="minor"/>
      </rPr>
      <t xml:space="preserve"> </t>
    </r>
    <r>
      <rPr>
        <b/>
        <u/>
        <sz val="14"/>
        <color theme="10"/>
        <rFont val="Aptos Narrow"/>
        <family val="2"/>
        <scheme val="minor"/>
      </rPr>
      <t xml:space="preserve"> </t>
    </r>
    <r>
      <rPr>
        <b/>
        <u/>
        <sz val="14"/>
        <color rgb="FFFF0000"/>
        <rFont val="Aptos Narrow"/>
        <family val="2"/>
        <scheme val="minor"/>
      </rPr>
      <t>VIDEO</t>
    </r>
  </si>
  <si>
    <r>
      <t xml:space="preserve">- Antes de iniciar la captura en este formato, dé clic aquí para ver el video explicativo sobre el uso de este formato:  </t>
    </r>
    <r>
      <rPr>
        <sz val="16"/>
        <color rgb="FFFF0000"/>
        <rFont val="Aptos Narrow"/>
        <family val="2"/>
        <scheme val="minor"/>
      </rPr>
      <t>VIDEO</t>
    </r>
  </si>
  <si>
    <r>
      <t xml:space="preserve">Una vez que realice el registro de los estudiantes y sus respectivas valoraciones (de </t>
    </r>
    <r>
      <rPr>
        <b/>
        <sz val="11"/>
        <color theme="1"/>
        <rFont val="Montserrat"/>
      </rPr>
      <t>todos</t>
    </r>
    <r>
      <rPr>
        <sz val="11"/>
        <color theme="1"/>
        <rFont val="Montserrat"/>
      </rPr>
      <t xml:space="preserve"> los grados y grupos de la escuela) envíe este </t>
    </r>
    <r>
      <rPr>
        <b/>
        <sz val="11"/>
        <color theme="1"/>
        <rFont val="Montserrat"/>
      </rPr>
      <t>archivo adjunto</t>
    </r>
    <r>
      <rPr>
        <sz val="11"/>
        <color theme="1"/>
        <rFont val="Montserrat"/>
      </rPr>
      <t xml:space="preserve"> al correo </t>
    </r>
    <r>
      <rPr>
        <b/>
        <sz val="11"/>
        <color theme="1"/>
        <rFont val="Montserrat"/>
      </rPr>
      <t xml:space="preserve">
valoraciones.ejercicios@nube.sep.gob.mx</t>
    </r>
    <r>
      <rPr>
        <sz val="11"/>
        <color theme="1"/>
        <rFont val="Montserrat"/>
      </rPr>
      <t xml:space="preserve">
(El correo estará habilitado a partir del 23 de septiembre)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</si>
</sst>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0"/>
      <color theme="1"/>
      <name val="Montserrat"/>
    </font>
    <font>
      <b/>
      <sz val="7"/>
      <color rgb="FFE97132"/>
      <name val="Montserrat"/>
    </font>
    <font>
      <sz val="8"/>
      <color theme="1"/>
      <name val="Montserrat"/>
    </font>
    <font>
      <b/>
      <sz val="8"/>
      <color theme="1"/>
      <name val="Montserrat"/>
    </font>
    <font>
      <sz val="7"/>
      <color theme="1"/>
      <name val="Montserrat"/>
    </font>
    <font>
      <b/>
      <sz val="8"/>
      <color rgb="FFE97132"/>
      <name val="Montserrat"/>
    </font>
    <font>
      <b/>
      <sz val="10"/>
      <color theme="0"/>
      <name val="Montserrat"/>
    </font>
    <font>
      <sz val="11"/>
      <color theme="0"/>
      <name val="Montserrat"/>
    </font>
    <font>
      <b/>
      <sz val="14"/>
      <color theme="1"/>
      <name val="Montserrat"/>
    </font>
    <font>
      <b/>
      <sz val="12"/>
      <color theme="1"/>
      <name val="Montserrat"/>
    </font>
    <font>
      <b/>
      <sz val="11"/>
      <color rgb="FFE97132"/>
      <name val="Montserrat"/>
    </font>
    <font>
      <u/>
      <sz val="11"/>
      <color theme="10"/>
      <name val="Aptos Narrow"/>
      <family val="2"/>
      <scheme val="minor"/>
    </font>
    <font>
      <b/>
      <sz val="11"/>
      <name val="Montserrat"/>
    </font>
    <font>
      <b/>
      <sz val="11"/>
      <color theme="0"/>
      <name val="Montserrat"/>
    </font>
    <font>
      <sz val="8"/>
      <name val="Aptos Narrow"/>
      <family val="2"/>
      <scheme val="minor"/>
    </font>
    <font>
      <u/>
      <sz val="11"/>
      <name val="Aptos Narrow"/>
      <family val="2"/>
      <scheme val="minor"/>
    </font>
    <font>
      <b/>
      <sz val="16"/>
      <color theme="1"/>
      <name val="Montserrat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4"/>
      <color theme="10"/>
      <name val="Aptos Narrow"/>
      <family val="2"/>
      <scheme val="minor"/>
    </font>
    <font>
      <b/>
      <sz val="14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b/>
      <u/>
      <sz val="14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E6D194"/>
        <bgColor indexed="64"/>
      </patternFill>
    </fill>
  </fills>
  <borders count="2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3" fillId="2" borderId="11" xfId="0" applyFont="1" applyFill="1" applyBorder="1" applyAlignment="1" applyProtection="1">
      <alignment vertical="top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12" fillId="2" borderId="11" xfId="0" applyFont="1" applyFill="1" applyBorder="1" applyAlignment="1" applyProtection="1">
      <alignment horizontal="center" vertical="center" wrapText="1"/>
      <protection locked="0"/>
    </xf>
    <xf numFmtId="49" fontId="1" fillId="0" borderId="0" xfId="0" applyNumberFormat="1" applyFont="1" applyProtection="1">
      <protection locked="0"/>
    </xf>
    <xf numFmtId="0" fontId="0" fillId="0" borderId="0" xfId="0" quotePrefix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10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2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9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center" vertical="center" wrapText="1"/>
    </xf>
    <xf numFmtId="0" fontId="10" fillId="5" borderId="0" xfId="0" applyFont="1" applyFill="1"/>
    <xf numFmtId="0" fontId="0" fillId="0" borderId="0" xfId="0" applyAlignment="1">
      <alignment horizontal="center"/>
    </xf>
    <xf numFmtId="0" fontId="21" fillId="0" borderId="8" xfId="1" quotePrefix="1" applyFont="1" applyBorder="1" applyAlignment="1">
      <alignment vertical="center" wrapText="1"/>
    </xf>
    <xf numFmtId="0" fontId="20" fillId="0" borderId="0" xfId="0" quotePrefix="1" applyFont="1" applyAlignment="1">
      <alignment vertical="center" wrapText="1"/>
    </xf>
    <xf numFmtId="0" fontId="20" fillId="0" borderId="8" xfId="0" quotePrefix="1" applyFont="1" applyBorder="1" applyAlignment="1">
      <alignment vertical="center" wrapText="1"/>
    </xf>
    <xf numFmtId="0" fontId="20" fillId="6" borderId="8" xfId="0" quotePrefix="1" applyFont="1" applyFill="1" applyBorder="1" applyAlignment="1">
      <alignment horizontal="center" vertical="center" wrapText="1"/>
    </xf>
    <xf numFmtId="0" fontId="12" fillId="6" borderId="0" xfId="0" applyFont="1" applyFill="1" applyAlignment="1" applyProtection="1">
      <alignment vertical="center" wrapText="1"/>
      <protection locked="0"/>
    </xf>
    <xf numFmtId="0" fontId="0" fillId="6" borderId="16" xfId="0" applyFill="1" applyBorder="1"/>
    <xf numFmtId="0" fontId="0" fillId="6" borderId="17" xfId="0" applyFill="1" applyBorder="1"/>
    <xf numFmtId="0" fontId="0" fillId="6" borderId="0" xfId="0" applyFill="1"/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13" fillId="6" borderId="0" xfId="0" applyFont="1" applyFill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0" fillId="6" borderId="0" xfId="0" applyFill="1" applyAlignment="1">
      <alignment horizontal="center"/>
    </xf>
    <xf numFmtId="0" fontId="13" fillId="5" borderId="10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/>
    <xf numFmtId="0" fontId="1" fillId="6" borderId="0" xfId="0" applyFont="1" applyFill="1"/>
    <xf numFmtId="49" fontId="18" fillId="2" borderId="9" xfId="1" applyNumberFormat="1" applyFont="1" applyFill="1" applyBorder="1" applyAlignment="1" applyProtection="1">
      <alignment vertical="center"/>
      <protection locked="0"/>
    </xf>
    <xf numFmtId="0" fontId="22" fillId="6" borderId="22" xfId="1" quotePrefix="1" applyFont="1" applyFill="1" applyBorder="1" applyAlignment="1" applyProtection="1">
      <alignment horizontal="center" vertical="center" wrapText="1"/>
    </xf>
    <xf numFmtId="0" fontId="22" fillId="6" borderId="23" xfId="1" quotePrefix="1" applyFont="1" applyFill="1" applyBorder="1" applyAlignment="1" applyProtection="1">
      <alignment horizontal="center" vertical="center" wrapText="1"/>
    </xf>
    <xf numFmtId="0" fontId="22" fillId="6" borderId="24" xfId="1" quotePrefix="1" applyFont="1" applyFill="1" applyBorder="1" applyAlignment="1" applyProtection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19" fillId="6" borderId="13" xfId="0" applyFont="1" applyFill="1" applyBorder="1" applyAlignment="1">
      <alignment horizontal="center"/>
    </xf>
    <xf numFmtId="0" fontId="19" fillId="6" borderId="14" xfId="0" applyFont="1" applyFill="1" applyBorder="1" applyAlignment="1">
      <alignment horizontal="center"/>
    </xf>
    <xf numFmtId="0" fontId="19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49281</xdr:colOff>
      <xdr:row>12</xdr:row>
      <xdr:rowOff>236377</xdr:rowOff>
    </xdr:from>
    <xdr:to>
      <xdr:col>5</xdr:col>
      <xdr:colOff>452974</xdr:colOff>
      <xdr:row>12</xdr:row>
      <xdr:rowOff>244751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B750372-207F-46E3-9099-6539B26988F4}"/>
            </a:ext>
          </a:extLst>
        </xdr:cNvPr>
        <xdr:cNvCxnSpPr/>
      </xdr:nvCxnSpPr>
      <xdr:spPr>
        <a:xfrm flipH="1">
          <a:off x="5288031" y="3770152"/>
          <a:ext cx="832318" cy="8374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72915</xdr:colOff>
      <xdr:row>17</xdr:row>
      <xdr:rowOff>54199</xdr:rowOff>
    </xdr:from>
    <xdr:to>
      <xdr:col>5</xdr:col>
      <xdr:colOff>489190</xdr:colOff>
      <xdr:row>17</xdr:row>
      <xdr:rowOff>61748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7D86055-BCD5-4C96-916A-2E7F98EBD21C}"/>
            </a:ext>
          </a:extLst>
        </xdr:cNvPr>
        <xdr:cNvCxnSpPr/>
      </xdr:nvCxnSpPr>
      <xdr:spPr>
        <a:xfrm flipH="1">
          <a:off x="5311665" y="5216749"/>
          <a:ext cx="844900" cy="7549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18064</xdr:colOff>
      <xdr:row>10</xdr:row>
      <xdr:rowOff>64893</xdr:rowOff>
    </xdr:from>
    <xdr:to>
      <xdr:col>5</xdr:col>
      <xdr:colOff>487165</xdr:colOff>
      <xdr:row>10</xdr:row>
      <xdr:rowOff>89009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84361953-60EC-4693-9321-C41B1B0BBEC8}"/>
            </a:ext>
          </a:extLst>
        </xdr:cNvPr>
        <xdr:cNvCxnSpPr/>
      </xdr:nvCxnSpPr>
      <xdr:spPr>
        <a:xfrm flipH="1">
          <a:off x="5256814" y="3112893"/>
          <a:ext cx="897726" cy="24116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59348</xdr:colOff>
      <xdr:row>5</xdr:row>
      <xdr:rowOff>264018</xdr:rowOff>
    </xdr:from>
    <xdr:to>
      <xdr:col>5</xdr:col>
      <xdr:colOff>479771</xdr:colOff>
      <xdr:row>8</xdr:row>
      <xdr:rowOff>156064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3315CE54-3B07-416C-BBC3-C8A68864865E}"/>
            </a:ext>
          </a:extLst>
        </xdr:cNvPr>
        <xdr:cNvCxnSpPr/>
      </xdr:nvCxnSpPr>
      <xdr:spPr>
        <a:xfrm flipH="1">
          <a:off x="5298098" y="2045193"/>
          <a:ext cx="849048" cy="663571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508346</xdr:colOff>
      <xdr:row>3</xdr:row>
      <xdr:rowOff>106984</xdr:rowOff>
    </xdr:from>
    <xdr:to>
      <xdr:col>7</xdr:col>
      <xdr:colOff>1393073</xdr:colOff>
      <xdr:row>7</xdr:row>
      <xdr:rowOff>189520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1F1045F-4C7B-4584-AC9C-EFFB3F94263F}"/>
            </a:ext>
          </a:extLst>
        </xdr:cNvPr>
        <xdr:cNvSpPr/>
      </xdr:nvSpPr>
      <xdr:spPr>
        <a:xfrm>
          <a:off x="6337646" y="1821484"/>
          <a:ext cx="2970702" cy="901686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Capture la CCT de su escuela, recuerde que está integrada por 10 caracteres. Ejemplo, 01DPR0001A</a:t>
          </a:r>
        </a:p>
      </xdr:txBody>
    </xdr:sp>
    <xdr:clientData/>
  </xdr:twoCellAnchor>
  <xdr:twoCellAnchor>
    <xdr:from>
      <xdr:col>6</xdr:col>
      <xdr:colOff>1390</xdr:colOff>
      <xdr:row>8</xdr:row>
      <xdr:rowOff>108797</xdr:rowOff>
    </xdr:from>
    <xdr:to>
      <xdr:col>7</xdr:col>
      <xdr:colOff>1209459</xdr:colOff>
      <xdr:row>10</xdr:row>
      <xdr:rowOff>230538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31C8EF67-8B33-472F-AD27-4C0996CF60FB}"/>
            </a:ext>
          </a:extLst>
        </xdr:cNvPr>
        <xdr:cNvSpPr/>
      </xdr:nvSpPr>
      <xdr:spPr>
        <a:xfrm>
          <a:off x="6202165" y="2661497"/>
          <a:ext cx="2760644" cy="617041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Seleccione el turno de la lista que se despliega.</a:t>
          </a:r>
        </a:p>
      </xdr:txBody>
    </xdr:sp>
    <xdr:clientData/>
  </xdr:twoCellAnchor>
  <xdr:twoCellAnchor>
    <xdr:from>
      <xdr:col>5</xdr:col>
      <xdr:colOff>519649</xdr:colOff>
      <xdr:row>11</xdr:row>
      <xdr:rowOff>115313</xdr:rowOff>
    </xdr:from>
    <xdr:to>
      <xdr:col>7</xdr:col>
      <xdr:colOff>795617</xdr:colOff>
      <xdr:row>12</xdr:row>
      <xdr:rowOff>538415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81023F1-957E-456A-A29A-9396F835D769}"/>
            </a:ext>
          </a:extLst>
        </xdr:cNvPr>
        <xdr:cNvSpPr/>
      </xdr:nvSpPr>
      <xdr:spPr>
        <a:xfrm>
          <a:off x="6187024" y="3410963"/>
          <a:ext cx="2361943" cy="661227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el nombre completo de la escuela.</a:t>
          </a:r>
        </a:p>
      </xdr:txBody>
    </xdr:sp>
    <xdr:clientData/>
  </xdr:twoCellAnchor>
  <xdr:twoCellAnchor>
    <xdr:from>
      <xdr:col>5</xdr:col>
      <xdr:colOff>508240</xdr:colOff>
      <xdr:row>12</xdr:row>
      <xdr:rowOff>697586</xdr:rowOff>
    </xdr:from>
    <xdr:to>
      <xdr:col>8</xdr:col>
      <xdr:colOff>723773</xdr:colOff>
      <xdr:row>18</xdr:row>
      <xdr:rowOff>47344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4A2872E-419C-4B99-ABF2-68D5DA282AA6}"/>
            </a:ext>
          </a:extLst>
        </xdr:cNvPr>
        <xdr:cNvSpPr/>
      </xdr:nvSpPr>
      <xdr:spPr>
        <a:xfrm>
          <a:off x="6175615" y="4231361"/>
          <a:ext cx="3854083" cy="1216658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un correo adicional (diferente al que utilizará para enviar su información) al cual se le remitirán los reportes de resultados de los grados y grupos capturados en este formato.</a:t>
          </a:r>
        </a:p>
      </xdr:txBody>
    </xdr:sp>
    <xdr:clientData/>
  </xdr:twoCellAnchor>
  <xdr:twoCellAnchor>
    <xdr:from>
      <xdr:col>5</xdr:col>
      <xdr:colOff>308004</xdr:colOff>
      <xdr:row>19</xdr:row>
      <xdr:rowOff>116356</xdr:rowOff>
    </xdr:from>
    <xdr:to>
      <xdr:col>10</xdr:col>
      <xdr:colOff>1533525</xdr:colOff>
      <xdr:row>26</xdr:row>
      <xdr:rowOff>19050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7C18D8B4-EB1D-4F5D-91BD-0F9B108859AC}"/>
            </a:ext>
          </a:extLst>
        </xdr:cNvPr>
        <xdr:cNvSpPr/>
      </xdr:nvSpPr>
      <xdr:spPr>
        <a:xfrm>
          <a:off x="5975379" y="5612281"/>
          <a:ext cx="7969221" cy="2264894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600" b="1" u="sng">
              <a:solidFill>
                <a:schemeClr val="bg1"/>
              </a:solidFill>
              <a:latin typeface="+mn-lt"/>
              <a:ea typeface="+mn-ea"/>
              <a:cs typeface="+mn-cs"/>
            </a:rPr>
            <a:t>I M P O R T A N T E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Incluya únicamente estudiantes que hayan respondido los dos EIA.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Verifique que NO falte ningún estudiante participante.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-Si en un grado existe más de un grupo, capture primero los estudiantes del grupo A, después los del grupo B, y así sucesivamente; en la pestaña indicada para cada grado.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-Adjunte este formato con la captura de todos los grados y grupos, sólo una vez  para evitar duplicidad de la información,  y envíelo al correo: valoraciones.ejercicios@nube.sep.gob.mx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Cualquier duda o aclaración, escriba a: dudas.ejercicios@nube.sep.gob.mx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6500818</xdr:colOff>
      <xdr:row>4</xdr:row>
      <xdr:rowOff>55400</xdr:rowOff>
    </xdr:from>
    <xdr:to>
      <xdr:col>1</xdr:col>
      <xdr:colOff>6873055</xdr:colOff>
      <xdr:row>4</xdr:row>
      <xdr:rowOff>476250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14DA0F-D957-40B4-8B28-1CE9834CA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928" t="19424" r="5077" b="9252"/>
        <a:stretch>
          <a:fillRect/>
        </a:stretch>
      </xdr:blipFill>
      <xdr:spPr>
        <a:xfrm>
          <a:off x="6858006" y="1805619"/>
          <a:ext cx="372237" cy="42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3IXzgtcm22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youtube.com/watch?v=3IXzgtcm22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8C28-FA49-4C5E-97F6-7400998DF4B1}">
  <dimension ref="A1:X76"/>
  <sheetViews>
    <sheetView showGridLines="0" topLeftCell="A3" zoomScaleNormal="100" workbookViewId="0">
      <selection activeCell="C21" sqref="C21:D21"/>
    </sheetView>
  </sheetViews>
  <sheetFormatPr baseColWidth="10" defaultRowHeight="15" x14ac:dyDescent="0.25"/>
  <cols>
    <col min="1" max="1" width="5.42578125" customWidth="1"/>
    <col min="2" max="2" width="8.28515625" customWidth="1"/>
    <col min="3" max="3" width="16.140625" customWidth="1"/>
    <col min="4" max="4" width="48.7109375" customWidth="1"/>
    <col min="5" max="5" width="6.42578125" customWidth="1"/>
    <col min="6" max="6" width="8" customWidth="1"/>
    <col min="7" max="17" width="23.28515625" customWidth="1"/>
    <col min="18" max="20" width="2.85546875" customWidth="1"/>
    <col min="23" max="24" width="2.28515625" customWidth="1"/>
  </cols>
  <sheetData>
    <row r="1" spans="1:24" ht="42.75" customHeight="1" thickBot="1" x14ac:dyDescent="0.3">
      <c r="A1" s="14"/>
      <c r="B1" s="56" t="s">
        <v>86</v>
      </c>
      <c r="C1" s="57"/>
      <c r="D1" s="57"/>
      <c r="E1" s="58"/>
      <c r="F1" s="15"/>
      <c r="W1" s="8"/>
      <c r="X1" s="8"/>
    </row>
    <row r="2" spans="1:24" ht="38.25" customHeight="1" x14ac:dyDescent="0.25">
      <c r="A2" s="16"/>
      <c r="B2" s="61" t="s">
        <v>39</v>
      </c>
      <c r="C2" s="62"/>
      <c r="D2" s="62"/>
      <c r="E2" s="63"/>
      <c r="W2" s="8"/>
      <c r="X2" s="8"/>
    </row>
    <row r="3" spans="1:24" ht="36.75" customHeight="1" x14ac:dyDescent="0.25">
      <c r="A3" s="16"/>
      <c r="B3" s="64" t="s">
        <v>69</v>
      </c>
      <c r="C3" s="65"/>
      <c r="D3" s="65"/>
      <c r="E3" s="66"/>
      <c r="W3" s="8"/>
      <c r="X3" s="8"/>
    </row>
    <row r="4" spans="1:24" ht="18.75" thickBot="1" x14ac:dyDescent="0.4">
      <c r="A4" s="16"/>
      <c r="B4" s="67" t="s">
        <v>40</v>
      </c>
      <c r="C4" s="68"/>
      <c r="D4" s="68"/>
      <c r="E4" s="69"/>
      <c r="W4" s="8"/>
      <c r="X4" s="8"/>
    </row>
    <row r="5" spans="1:24" ht="3.75" customHeight="1" thickBot="1" x14ac:dyDescent="0.3">
      <c r="A5" s="16"/>
      <c r="W5" s="8"/>
      <c r="X5" s="8"/>
    </row>
    <row r="6" spans="1:24" ht="24" x14ac:dyDescent="0.45">
      <c r="A6" s="16"/>
      <c r="B6" s="70" t="s">
        <v>49</v>
      </c>
      <c r="C6" s="71"/>
      <c r="D6" s="71"/>
      <c r="E6" s="72"/>
      <c r="W6" t="s">
        <v>41</v>
      </c>
      <c r="X6" t="s">
        <v>60</v>
      </c>
    </row>
    <row r="7" spans="1:24" ht="18" x14ac:dyDescent="0.35">
      <c r="A7" s="16"/>
      <c r="B7" s="73" t="s">
        <v>50</v>
      </c>
      <c r="C7" s="74"/>
      <c r="D7" s="74"/>
      <c r="E7" s="75"/>
      <c r="W7" t="s">
        <v>61</v>
      </c>
      <c r="X7" t="s">
        <v>62</v>
      </c>
    </row>
    <row r="8" spans="1:24" ht="18.75" thickBot="1" x14ac:dyDescent="0.4">
      <c r="A8" s="16"/>
      <c r="B8" s="40"/>
      <c r="C8" s="53"/>
      <c r="D8" s="54"/>
      <c r="E8" s="41"/>
      <c r="W8" t="s">
        <v>42</v>
      </c>
      <c r="X8" t="s">
        <v>43</v>
      </c>
    </row>
    <row r="9" spans="1:24" ht="19.5" thickBot="1" x14ac:dyDescent="0.3">
      <c r="A9" s="16"/>
      <c r="B9" s="40"/>
      <c r="C9" s="51" t="s">
        <v>53</v>
      </c>
      <c r="D9" s="11"/>
      <c r="E9" s="41"/>
      <c r="W9" t="s">
        <v>44</v>
      </c>
      <c r="X9" t="s">
        <v>45</v>
      </c>
    </row>
    <row r="10" spans="1:24" ht="19.5" thickBot="1" x14ac:dyDescent="0.3">
      <c r="A10" s="16"/>
      <c r="B10" s="40"/>
      <c r="C10" s="46"/>
      <c r="D10" s="52"/>
      <c r="E10" s="41"/>
      <c r="W10" t="s">
        <v>46</v>
      </c>
      <c r="X10" t="s">
        <v>47</v>
      </c>
    </row>
    <row r="11" spans="1:24" ht="19.5" thickBot="1" x14ac:dyDescent="0.3">
      <c r="A11" s="16"/>
      <c r="B11" s="40"/>
      <c r="C11" s="51" t="s">
        <v>52</v>
      </c>
      <c r="D11" s="11"/>
      <c r="E11" s="41"/>
      <c r="W11" t="s">
        <v>48</v>
      </c>
      <c r="X11" t="s">
        <v>63</v>
      </c>
    </row>
    <row r="12" spans="1:24" ht="18.75" thickBot="1" x14ac:dyDescent="0.3">
      <c r="A12" s="16"/>
      <c r="B12" s="40"/>
      <c r="C12" s="46"/>
      <c r="D12" s="48"/>
      <c r="E12" s="41"/>
      <c r="W12">
        <v>6</v>
      </c>
      <c r="X12" t="s">
        <v>64</v>
      </c>
    </row>
    <row r="13" spans="1:24" ht="64.5" customHeight="1" thickBot="1" x14ac:dyDescent="0.3">
      <c r="A13" s="16"/>
      <c r="B13" s="40"/>
      <c r="C13" s="50" t="s">
        <v>51</v>
      </c>
      <c r="D13" s="9"/>
      <c r="E13" s="41"/>
    </row>
    <row r="14" spans="1:24" ht="18" x14ac:dyDescent="0.25">
      <c r="A14" s="16"/>
      <c r="B14" s="40"/>
      <c r="C14" s="46"/>
      <c r="D14" s="48"/>
      <c r="E14" s="41"/>
    </row>
    <row r="15" spans="1:24" ht="18.75" thickBot="1" x14ac:dyDescent="0.3">
      <c r="A15" s="16"/>
      <c r="B15" s="40"/>
      <c r="C15" s="46"/>
      <c r="D15" s="48"/>
      <c r="E15" s="41"/>
    </row>
    <row r="16" spans="1:24" ht="18.75" thickBot="1" x14ac:dyDescent="0.3">
      <c r="A16" s="16"/>
      <c r="B16" s="40"/>
      <c r="C16" s="76" t="s">
        <v>65</v>
      </c>
      <c r="D16" s="77"/>
      <c r="E16" s="41"/>
    </row>
    <row r="17" spans="1:5" ht="8.25" customHeight="1" thickBot="1" x14ac:dyDescent="0.3">
      <c r="A17" s="16"/>
      <c r="B17" s="40"/>
      <c r="C17" s="49"/>
      <c r="D17" s="42"/>
      <c r="E17" s="41"/>
    </row>
    <row r="18" spans="1:5" ht="18.75" thickBot="1" x14ac:dyDescent="0.3">
      <c r="A18" s="16"/>
      <c r="B18" s="40"/>
      <c r="C18" s="47" t="s">
        <v>66</v>
      </c>
      <c r="D18" s="55"/>
      <c r="E18" s="41"/>
    </row>
    <row r="19" spans="1:5" ht="7.5" customHeight="1" x14ac:dyDescent="0.25">
      <c r="A19" s="16"/>
      <c r="B19" s="40"/>
      <c r="C19" s="46"/>
      <c r="D19" s="39"/>
      <c r="E19" s="41"/>
    </row>
    <row r="20" spans="1:5" ht="19.5" thickBot="1" x14ac:dyDescent="0.3">
      <c r="A20" s="16"/>
      <c r="B20" s="40"/>
      <c r="C20" s="39"/>
      <c r="D20" s="39"/>
      <c r="E20" s="41"/>
    </row>
    <row r="21" spans="1:5" ht="90.75" customHeight="1" thickBot="1" x14ac:dyDescent="0.3">
      <c r="A21" s="16"/>
      <c r="B21" s="40"/>
      <c r="C21" s="59" t="s">
        <v>88</v>
      </c>
      <c r="D21" s="60"/>
      <c r="E21" s="41"/>
    </row>
    <row r="22" spans="1:5" x14ac:dyDescent="0.25">
      <c r="A22" s="16"/>
      <c r="B22" s="40"/>
      <c r="C22" s="42"/>
      <c r="D22" s="42"/>
      <c r="E22" s="41"/>
    </row>
    <row r="23" spans="1:5" ht="15.75" thickBot="1" x14ac:dyDescent="0.3">
      <c r="A23" s="16"/>
      <c r="B23" s="43"/>
      <c r="C23" s="44"/>
      <c r="D23" s="44"/>
      <c r="E23" s="45"/>
    </row>
    <row r="24" spans="1:5" x14ac:dyDescent="0.25">
      <c r="A24" s="16"/>
    </row>
    <row r="26" spans="1:5" x14ac:dyDescent="0.25">
      <c r="A26" s="16"/>
    </row>
    <row r="27" spans="1:5" x14ac:dyDescent="0.25">
      <c r="A27" s="16"/>
    </row>
    <row r="43" spans="2:5" x14ac:dyDescent="0.25">
      <c r="B43" t="str">
        <f>MID(D9,1,2)</f>
        <v/>
      </c>
      <c r="C43" t="str">
        <f>MID(D9,3,3)</f>
        <v/>
      </c>
      <c r="D43" t="str">
        <f>MID(D9,6,4)</f>
        <v/>
      </c>
      <c r="E43" t="str">
        <f>MID(D9,10,1)</f>
        <v/>
      </c>
    </row>
    <row r="45" spans="2:5" x14ac:dyDescent="0.25">
      <c r="B45" s="13"/>
    </row>
    <row r="46" spans="2:5" x14ac:dyDescent="0.25">
      <c r="B46" s="13"/>
    </row>
    <row r="47" spans="2:5" x14ac:dyDescent="0.25">
      <c r="B47" s="13"/>
    </row>
    <row r="48" spans="2:5" x14ac:dyDescent="0.25">
      <c r="B48" s="13"/>
    </row>
    <row r="49" spans="2:2" x14ac:dyDescent="0.25">
      <c r="B49" s="13"/>
    </row>
    <row r="50" spans="2:2" x14ac:dyDescent="0.25">
      <c r="B50" s="13"/>
    </row>
    <row r="51" spans="2:2" x14ac:dyDescent="0.25">
      <c r="B51" s="13"/>
    </row>
    <row r="52" spans="2:2" x14ac:dyDescent="0.25">
      <c r="B52" s="13"/>
    </row>
    <row r="53" spans="2:2" x14ac:dyDescent="0.25">
      <c r="B53" s="13"/>
    </row>
    <row r="54" spans="2:2" x14ac:dyDescent="0.25">
      <c r="B54" s="13"/>
    </row>
    <row r="55" spans="2:2" x14ac:dyDescent="0.25">
      <c r="B55" s="13"/>
    </row>
    <row r="56" spans="2:2" x14ac:dyDescent="0.25">
      <c r="B56" s="13"/>
    </row>
    <row r="57" spans="2:2" x14ac:dyDescent="0.25">
      <c r="B57" s="13"/>
    </row>
    <row r="58" spans="2:2" x14ac:dyDescent="0.25">
      <c r="B58" s="13"/>
    </row>
    <row r="59" spans="2:2" x14ac:dyDescent="0.25">
      <c r="B59" s="13"/>
    </row>
    <row r="60" spans="2:2" x14ac:dyDescent="0.25">
      <c r="B60" s="13"/>
    </row>
    <row r="61" spans="2:2" x14ac:dyDescent="0.25">
      <c r="B61" s="13"/>
    </row>
    <row r="62" spans="2:2" x14ac:dyDescent="0.25">
      <c r="B62" s="13"/>
    </row>
    <row r="63" spans="2:2" x14ac:dyDescent="0.25">
      <c r="B63" s="13"/>
    </row>
    <row r="64" spans="2:2" x14ac:dyDescent="0.25">
      <c r="B64" s="13"/>
    </row>
    <row r="65" spans="2:2" x14ac:dyDescent="0.25">
      <c r="B65" s="13"/>
    </row>
    <row r="66" spans="2:2" x14ac:dyDescent="0.25">
      <c r="B66" s="13"/>
    </row>
    <row r="67" spans="2:2" x14ac:dyDescent="0.25">
      <c r="B67" s="13"/>
    </row>
    <row r="68" spans="2:2" x14ac:dyDescent="0.25">
      <c r="B68" s="13"/>
    </row>
    <row r="69" spans="2:2" x14ac:dyDescent="0.25">
      <c r="B69" s="13"/>
    </row>
    <row r="70" spans="2:2" x14ac:dyDescent="0.25">
      <c r="B70" s="13"/>
    </row>
    <row r="71" spans="2:2" x14ac:dyDescent="0.25">
      <c r="B71" s="13"/>
    </row>
    <row r="72" spans="2:2" x14ac:dyDescent="0.25">
      <c r="B72" s="13"/>
    </row>
    <row r="73" spans="2:2" x14ac:dyDescent="0.25">
      <c r="B73" s="13"/>
    </row>
    <row r="74" spans="2:2" x14ac:dyDescent="0.25">
      <c r="B74" s="13"/>
    </row>
    <row r="75" spans="2:2" x14ac:dyDescent="0.25">
      <c r="B75" s="13"/>
    </row>
    <row r="76" spans="2:2" x14ac:dyDescent="0.25">
      <c r="B76" s="13"/>
    </row>
  </sheetData>
  <sheetProtection algorithmName="SHA-512" hashValue="mRSzo8ueMceiIk2pTJ43vdYiScD1zBPaWz+ARrwwoHk2Xx7XL5j0vBYRKELNuEMAozizF9NTSUPgRAczh+epqw==" saltValue="ixMagwV9gDTDwtIk5HSkHg==" spinCount="100000" sheet="1" objects="1" scenarios="1" formatCells="0" formatColumns="0"/>
  <mergeCells count="8">
    <mergeCell ref="B1:E1"/>
    <mergeCell ref="C21:D21"/>
    <mergeCell ref="B2:E2"/>
    <mergeCell ref="B3:E3"/>
    <mergeCell ref="B4:E4"/>
    <mergeCell ref="B6:E6"/>
    <mergeCell ref="B7:E7"/>
    <mergeCell ref="C16:D16"/>
  </mergeCells>
  <phoneticPr fontId="17" type="noConversion"/>
  <dataValidations disablePrompts="1" count="3">
    <dataValidation type="textLength" operator="equal" allowBlank="1" showInputMessage="1" showErrorMessage="1" error="LA CCT NO CONTIENE 10 CARACTERES" sqref="D9:D10" xr:uid="{E99AE435-9546-4605-971D-4BDADD02AF4C}">
      <formula1>10</formula1>
    </dataValidation>
    <dataValidation type="whole" allowBlank="1" showInputMessage="1" showErrorMessage="1" sqref="C61" xr:uid="{5CB94B3A-13A7-4846-9E36-849C7EF7794D}">
      <formula1>1</formula1>
      <formula2>32</formula2>
    </dataValidation>
    <dataValidation type="list" allowBlank="1" showInputMessage="1" showErrorMessage="1" sqref="D11" xr:uid="{518200B8-BF06-46C8-A600-18F5BCA09334}">
      <formula1>$X$7:$X$12</formula1>
    </dataValidation>
  </dataValidations>
  <hyperlinks>
    <hyperlink ref="B1:E1" r:id="rId1" display="Antes de iniciar la captura en este formato, dé clic aquí para ver el video explicativo sobre el uso de este formato:  VIDEO" xr:uid="{8B7DA51D-9981-45A1-ACBD-185316FA9F6D}"/>
  </hyperlinks>
  <pageMargins left="0.7" right="0.7" top="0.75" bottom="0.75" header="0.3" footer="0.3"/>
  <pageSetup scale="79" orientation="portrait" horizontalDpi="0" verticalDpi="0" r:id="rId2"/>
  <colBreaks count="1" manualBreakCount="1">
    <brk id="7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D4BD-06D2-457A-98F0-9340BD06913D}">
  <dimension ref="A1:S500"/>
  <sheetViews>
    <sheetView showGridLines="0" zoomScale="110" zoomScaleNormal="110" workbookViewId="0">
      <selection activeCell="A10" sqref="A10"/>
    </sheetView>
  </sheetViews>
  <sheetFormatPr baseColWidth="10" defaultRowHeight="18" x14ac:dyDescent="0.35"/>
  <cols>
    <col min="1" max="1" width="5.28515625" style="5" customWidth="1"/>
    <col min="2" max="2" width="8.140625" style="5" customWidth="1"/>
    <col min="3" max="3" width="40.42578125" style="5" customWidth="1"/>
    <col min="4" max="18" width="7.28515625" style="5" customWidth="1"/>
    <col min="19" max="16384" width="11.42578125" style="5"/>
  </cols>
  <sheetData>
    <row r="1" spans="1:19" x14ac:dyDescent="0.35">
      <c r="A1" s="17">
        <v>3</v>
      </c>
      <c r="B1" s="81" t="s">
        <v>39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9" x14ac:dyDescent="0.35">
      <c r="A2" s="18"/>
      <c r="B2" s="82" t="s">
        <v>54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0"/>
      <c r="Q2" s="10"/>
      <c r="R2" s="10"/>
    </row>
    <row r="3" spans="1:19" ht="6.75" customHeight="1" x14ac:dyDescent="0.35">
      <c r="A3" s="18"/>
      <c r="B3" s="19"/>
      <c r="C3" s="20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4"/>
      <c r="Q3" s="78"/>
      <c r="R3" s="78"/>
    </row>
    <row r="4" spans="1:19" ht="16.5" customHeight="1" x14ac:dyDescent="0.35">
      <c r="A4" s="18"/>
      <c r="B4" s="22" t="s">
        <v>0</v>
      </c>
      <c r="C4" s="23">
        <f>ESC!D9</f>
        <v>0</v>
      </c>
      <c r="D4" s="18"/>
      <c r="E4" s="24"/>
      <c r="F4" s="79" t="s">
        <v>1</v>
      </c>
      <c r="G4" s="79"/>
      <c r="H4" s="80">
        <f>ESC!D11</f>
        <v>0</v>
      </c>
      <c r="I4" s="80"/>
      <c r="J4" s="80"/>
      <c r="K4" s="25"/>
      <c r="L4" s="25"/>
      <c r="M4" s="79" t="s">
        <v>2</v>
      </c>
      <c r="N4" s="79"/>
      <c r="O4" s="26">
        <v>1</v>
      </c>
      <c r="P4" s="78"/>
      <c r="Q4" s="78"/>
      <c r="S4" s="12"/>
    </row>
    <row r="5" spans="1:19" ht="6" customHeight="1" x14ac:dyDescent="0.35">
      <c r="A5" s="18"/>
      <c r="B5" s="24"/>
      <c r="C5" s="27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7"/>
      <c r="Q5" s="7"/>
      <c r="R5" s="7"/>
    </row>
    <row r="6" spans="1:19" s="6" customFormat="1" ht="12.75" customHeight="1" x14ac:dyDescent="0.25">
      <c r="A6" s="24"/>
      <c r="B6" s="83" t="s">
        <v>3</v>
      </c>
      <c r="C6" s="89" t="s">
        <v>68</v>
      </c>
      <c r="D6" s="84" t="s">
        <v>67</v>
      </c>
      <c r="E6" s="84" t="s">
        <v>6</v>
      </c>
      <c r="F6" s="85" t="s">
        <v>4</v>
      </c>
      <c r="G6" s="85"/>
      <c r="H6" s="85"/>
      <c r="I6" s="85"/>
      <c r="J6" s="85"/>
      <c r="K6" s="85"/>
      <c r="L6" s="85"/>
      <c r="M6" s="85"/>
      <c r="N6" s="85"/>
      <c r="O6" s="85"/>
    </row>
    <row r="7" spans="1:19" s="6" customFormat="1" ht="12.75" x14ac:dyDescent="0.25">
      <c r="A7" s="24"/>
      <c r="B7" s="83"/>
      <c r="C7" s="90"/>
      <c r="D7" s="83"/>
      <c r="E7" s="83"/>
      <c r="F7" s="86" t="s">
        <v>5</v>
      </c>
      <c r="G7" s="87"/>
      <c r="H7" s="87"/>
      <c r="I7" s="87"/>
      <c r="J7" s="87"/>
      <c r="K7" s="87"/>
      <c r="L7" s="87"/>
      <c r="M7" s="87"/>
      <c r="N7" s="87"/>
      <c r="O7" s="88"/>
    </row>
    <row r="8" spans="1:19" s="6" customFormat="1" ht="12.75" x14ac:dyDescent="0.25">
      <c r="A8" s="24"/>
      <c r="B8" s="83"/>
      <c r="C8" s="90"/>
      <c r="D8" s="83"/>
      <c r="E8" s="83"/>
      <c r="F8" s="86" t="s">
        <v>7</v>
      </c>
      <c r="G8" s="87"/>
      <c r="H8" s="87"/>
      <c r="I8" s="87"/>
      <c r="J8" s="88"/>
      <c r="K8" s="86" t="s">
        <v>8</v>
      </c>
      <c r="L8" s="87"/>
      <c r="M8" s="87"/>
      <c r="N8" s="87"/>
      <c r="O8" s="88"/>
    </row>
    <row r="9" spans="1:19" s="6" customFormat="1" ht="66.75" customHeight="1" x14ac:dyDescent="0.25">
      <c r="A9" s="24"/>
      <c r="B9" s="83"/>
      <c r="C9" s="91"/>
      <c r="D9" s="83"/>
      <c r="E9" s="83"/>
      <c r="F9" s="29" t="s">
        <v>9</v>
      </c>
      <c r="G9" s="29" t="s">
        <v>10</v>
      </c>
      <c r="H9" s="29" t="s">
        <v>11</v>
      </c>
      <c r="I9" s="29" t="s">
        <v>12</v>
      </c>
      <c r="J9" s="29" t="s">
        <v>13</v>
      </c>
      <c r="K9" s="29" t="s">
        <v>9</v>
      </c>
      <c r="L9" s="29" t="s">
        <v>10</v>
      </c>
      <c r="M9" s="29" t="s">
        <v>12</v>
      </c>
      <c r="N9" s="29" t="s">
        <v>14</v>
      </c>
      <c r="O9" s="29" t="s">
        <v>13</v>
      </c>
    </row>
    <row r="10" spans="1:19" x14ac:dyDescent="0.35">
      <c r="B10" s="2"/>
      <c r="C10" s="2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9" x14ac:dyDescent="0.35">
      <c r="B11" s="2"/>
      <c r="C11" s="2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9" x14ac:dyDescent="0.35">
      <c r="B12" s="2"/>
      <c r="C12" s="2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9" x14ac:dyDescent="0.35">
      <c r="B13" s="2"/>
      <c r="C13" s="2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9" x14ac:dyDescent="0.35">
      <c r="B14" s="2"/>
      <c r="C14" s="2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9" x14ac:dyDescent="0.35">
      <c r="B15" s="2"/>
      <c r="C15" s="2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9" x14ac:dyDescent="0.35">
      <c r="B16" s="2"/>
      <c r="C16" s="2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x14ac:dyDescent="0.35">
      <c r="B17" s="2"/>
      <c r="C17" s="2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x14ac:dyDescent="0.35">
      <c r="B18" s="2"/>
      <c r="C18" s="2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x14ac:dyDescent="0.35">
      <c r="B19" s="2"/>
      <c r="C19" s="2"/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x14ac:dyDescent="0.35">
      <c r="B20" s="2"/>
      <c r="C20" s="2"/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x14ac:dyDescent="0.35">
      <c r="B21" s="2"/>
      <c r="C21" s="2"/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2:15" x14ac:dyDescent="0.35">
      <c r="B22" s="2"/>
      <c r="C22" s="2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x14ac:dyDescent="0.35">
      <c r="B23" s="2"/>
      <c r="C23" s="2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2:15" x14ac:dyDescent="0.35">
      <c r="B24" s="2"/>
      <c r="C24" s="2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5" x14ac:dyDescent="0.35">
      <c r="B25" s="2"/>
      <c r="C25" s="2"/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2:15" x14ac:dyDescent="0.35">
      <c r="B26" s="2"/>
      <c r="C26" s="2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2:15" x14ac:dyDescent="0.35">
      <c r="B27" s="2"/>
      <c r="C27" s="2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2:15" x14ac:dyDescent="0.35">
      <c r="B28" s="2"/>
      <c r="C28" s="2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2:15" x14ac:dyDescent="0.35">
      <c r="B29" s="2"/>
      <c r="C29" s="2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2:15" x14ac:dyDescent="0.35">
      <c r="B30" s="2"/>
      <c r="C30" s="2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2:15" x14ac:dyDescent="0.35"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2:15" x14ac:dyDescent="0.35">
      <c r="B32" s="2"/>
      <c r="C32" s="2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35">
      <c r="B33" s="2"/>
      <c r="C33" s="2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35">
      <c r="B34" s="2"/>
      <c r="C34" s="2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35">
      <c r="B35" s="2"/>
      <c r="C35" s="2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35">
      <c r="B36" s="2"/>
      <c r="C36" s="2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35">
      <c r="B37" s="2"/>
      <c r="C37" s="2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35">
      <c r="B38" s="2"/>
      <c r="C38" s="2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35">
      <c r="B39" s="2"/>
      <c r="C39" s="2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35">
      <c r="B40" s="2"/>
      <c r="C40" s="2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35">
      <c r="B41" s="2"/>
      <c r="C41" s="2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35">
      <c r="B42" s="2"/>
      <c r="C42" s="2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35">
      <c r="B43" s="2"/>
      <c r="C43" s="2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35">
      <c r="B44" s="2"/>
      <c r="C44" s="2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35">
      <c r="B45" s="2"/>
      <c r="C45" s="2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35">
      <c r="B46" s="2"/>
      <c r="C46" s="2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35">
      <c r="B47" s="2"/>
      <c r="C47" s="2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5" x14ac:dyDescent="0.35">
      <c r="B48" s="2"/>
      <c r="C48" s="2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 x14ac:dyDescent="0.35">
      <c r="B49" s="2"/>
      <c r="C49" s="2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x14ac:dyDescent="0.35">
      <c r="B50" s="2"/>
      <c r="C50" s="2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 x14ac:dyDescent="0.35">
      <c r="B51" s="2"/>
      <c r="C51" s="2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2:15" x14ac:dyDescent="0.35">
      <c r="B52" s="2"/>
      <c r="C52" s="2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2:15" x14ac:dyDescent="0.35">
      <c r="B53" s="2"/>
      <c r="C53" s="2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2:15" x14ac:dyDescent="0.35"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2:15" x14ac:dyDescent="0.35">
      <c r="B55" s="2"/>
      <c r="C55" s="2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2:15" x14ac:dyDescent="0.35">
      <c r="B56" s="2"/>
      <c r="C56" s="2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2:15" x14ac:dyDescent="0.35">
      <c r="B57" s="2"/>
      <c r="C57" s="2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2:15" x14ac:dyDescent="0.35">
      <c r="B58" s="2"/>
      <c r="C58" s="2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2:15" x14ac:dyDescent="0.35">
      <c r="B59" s="2"/>
      <c r="C59" s="2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2:15" x14ac:dyDescent="0.35">
      <c r="B60" s="2"/>
      <c r="C60" s="2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2:15" x14ac:dyDescent="0.35"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2:15" x14ac:dyDescent="0.35">
      <c r="B62" s="2"/>
      <c r="C62" s="2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2:15" x14ac:dyDescent="0.35">
      <c r="B63" s="2"/>
      <c r="C63" s="2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2:15" x14ac:dyDescent="0.35">
      <c r="B64" s="2"/>
      <c r="C64" s="2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2:15" x14ac:dyDescent="0.35">
      <c r="B65" s="2"/>
      <c r="C65" s="2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2:15" x14ac:dyDescent="0.35">
      <c r="B66" s="2"/>
      <c r="C66" s="2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2:15" x14ac:dyDescent="0.35"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2:15" x14ac:dyDescent="0.35">
      <c r="B68" s="2"/>
      <c r="C68" s="2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2:15" x14ac:dyDescent="0.35"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2:15" x14ac:dyDescent="0.35">
      <c r="B70" s="2"/>
      <c r="C70" s="2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2:15" x14ac:dyDescent="0.35"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2:15" x14ac:dyDescent="0.35">
      <c r="B72" s="2"/>
      <c r="C72" s="2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2:15" x14ac:dyDescent="0.35">
      <c r="B73" s="2"/>
      <c r="C73" s="2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2:15" x14ac:dyDescent="0.35">
      <c r="B74" s="2"/>
      <c r="C74" s="2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2:15" x14ac:dyDescent="0.35">
      <c r="B75" s="2"/>
      <c r="C75" s="2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2:15" x14ac:dyDescent="0.35">
      <c r="B76" s="2"/>
      <c r="C76" s="2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2:15" x14ac:dyDescent="0.35">
      <c r="B77" s="2"/>
      <c r="C77" s="2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2:15" x14ac:dyDescent="0.35">
      <c r="B78" s="2"/>
      <c r="C78" s="2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2:15" x14ac:dyDescent="0.35">
      <c r="B79" s="2"/>
      <c r="C79" s="2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2:15" x14ac:dyDescent="0.35">
      <c r="B80" s="2"/>
      <c r="C80" s="2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2:15" x14ac:dyDescent="0.35">
      <c r="B81" s="2"/>
      <c r="C81" s="2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2:15" x14ac:dyDescent="0.35"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2:15" x14ac:dyDescent="0.35">
      <c r="B83" s="2"/>
      <c r="C83" s="2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2:15" x14ac:dyDescent="0.35"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2:15" x14ac:dyDescent="0.35">
      <c r="B85" s="2"/>
      <c r="C85" s="2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2:15" x14ac:dyDescent="0.35"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2:15" x14ac:dyDescent="0.35">
      <c r="B87" s="2"/>
      <c r="C87" s="2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2:15" x14ac:dyDescent="0.35"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2:15" x14ac:dyDescent="0.35">
      <c r="B89" s="2"/>
      <c r="C89" s="2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2:15" x14ac:dyDescent="0.35">
      <c r="B90" s="2"/>
      <c r="C90" s="2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2:15" x14ac:dyDescent="0.35">
      <c r="B91" s="2"/>
      <c r="C91" s="2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2:15" x14ac:dyDescent="0.35">
      <c r="B92" s="2"/>
      <c r="C92" s="2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2:15" x14ac:dyDescent="0.35">
      <c r="B93" s="2"/>
      <c r="C93" s="2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2:15" x14ac:dyDescent="0.35">
      <c r="B94" s="2"/>
      <c r="C94" s="2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2:15" x14ac:dyDescent="0.35"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2:15" x14ac:dyDescent="0.35">
      <c r="B96" s="2"/>
      <c r="C96" s="2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2:15" x14ac:dyDescent="0.35"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2:15" x14ac:dyDescent="0.35">
      <c r="B98" s="2"/>
      <c r="C98" s="2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2:15" x14ac:dyDescent="0.35">
      <c r="B99" s="2"/>
      <c r="C99" s="2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2:15" x14ac:dyDescent="0.35">
      <c r="B100" s="2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2:15" x14ac:dyDescent="0.35">
      <c r="B101" s="2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2:15" x14ac:dyDescent="0.35">
      <c r="B102" s="2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2:15" x14ac:dyDescent="0.35">
      <c r="B103" s="2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2:15" x14ac:dyDescent="0.35">
      <c r="B104" s="2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2:15" x14ac:dyDescent="0.35">
      <c r="B105" s="2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2:15" x14ac:dyDescent="0.35">
      <c r="B106" s="2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2:15" x14ac:dyDescent="0.35">
      <c r="B107" s="2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2:15" x14ac:dyDescent="0.35">
      <c r="B108" s="2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2:15" x14ac:dyDescent="0.35">
      <c r="B109" s="2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2:15" x14ac:dyDescent="0.35">
      <c r="B110" s="2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2:15" x14ac:dyDescent="0.35">
      <c r="B111" s="2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2:15" x14ac:dyDescent="0.35">
      <c r="B112" s="2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2:15" x14ac:dyDescent="0.35">
      <c r="B113" s="2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2:15" x14ac:dyDescent="0.35">
      <c r="B114" s="2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2:15" x14ac:dyDescent="0.35">
      <c r="B115" s="2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2:15" x14ac:dyDescent="0.35">
      <c r="B116" s="2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2:15" x14ac:dyDescent="0.35">
      <c r="B117" s="2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2:15" x14ac:dyDescent="0.35">
      <c r="B118" s="2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2:15" x14ac:dyDescent="0.35">
      <c r="B119" s="2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2:15" x14ac:dyDescent="0.35">
      <c r="B120" s="2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2:15" x14ac:dyDescent="0.35">
      <c r="B121" s="2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2:15" x14ac:dyDescent="0.35">
      <c r="B122" s="2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2:15" x14ac:dyDescent="0.35">
      <c r="B123" s="2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2:15" x14ac:dyDescent="0.35">
      <c r="B124" s="2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2:15" x14ac:dyDescent="0.35">
      <c r="B125" s="2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2:15" x14ac:dyDescent="0.35">
      <c r="B126" s="2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2:15" x14ac:dyDescent="0.35">
      <c r="B127" s="2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2:15" x14ac:dyDescent="0.35"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2:15" x14ac:dyDescent="0.35">
      <c r="B129" s="2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2:15" x14ac:dyDescent="0.35"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2:15" x14ac:dyDescent="0.35"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2:15" x14ac:dyDescent="0.35"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2:15" x14ac:dyDescent="0.35"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2:15" x14ac:dyDescent="0.35"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2:15" x14ac:dyDescent="0.35"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2:15" x14ac:dyDescent="0.35"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2:15" x14ac:dyDescent="0.35"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2:15" x14ac:dyDescent="0.35"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2:15" x14ac:dyDescent="0.35"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2:15" x14ac:dyDescent="0.35"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2:15" x14ac:dyDescent="0.35"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2:15" x14ac:dyDescent="0.35"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2:15" x14ac:dyDescent="0.35"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2:15" x14ac:dyDescent="0.35"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2:15" x14ac:dyDescent="0.35"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2:15" x14ac:dyDescent="0.35"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2:15" x14ac:dyDescent="0.35"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2:15" x14ac:dyDescent="0.35"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2:15" x14ac:dyDescent="0.35"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2:15" x14ac:dyDescent="0.35"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2:15" x14ac:dyDescent="0.35"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2:15" x14ac:dyDescent="0.35"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2:15" x14ac:dyDescent="0.35">
      <c r="B153" s="2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2:15" x14ac:dyDescent="0.35"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2:15" x14ac:dyDescent="0.35">
      <c r="B155" s="2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2:15" x14ac:dyDescent="0.35"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2:15" x14ac:dyDescent="0.35">
      <c r="B157" s="2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2:15" x14ac:dyDescent="0.35">
      <c r="B158" s="2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2:15" x14ac:dyDescent="0.35">
      <c r="B159" s="2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2:15" x14ac:dyDescent="0.35">
      <c r="B160" s="2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2:15" x14ac:dyDescent="0.35">
      <c r="B161" s="2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2:15" x14ac:dyDescent="0.35">
      <c r="B162" s="2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2:15" x14ac:dyDescent="0.35">
      <c r="B163" s="2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2:15" x14ac:dyDescent="0.35">
      <c r="B164" s="2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2:15" x14ac:dyDescent="0.35">
      <c r="B165" s="2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2:15" x14ac:dyDescent="0.35">
      <c r="B166" s="2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2:15" x14ac:dyDescent="0.35">
      <c r="B167" s="2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2:15" x14ac:dyDescent="0.35">
      <c r="B168" s="2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2:15" x14ac:dyDescent="0.35">
      <c r="B169" s="2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2:15" x14ac:dyDescent="0.35">
      <c r="B170" s="2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2:15" x14ac:dyDescent="0.35">
      <c r="B171" s="2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2:15" x14ac:dyDescent="0.35">
      <c r="B172" s="2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2:15" x14ac:dyDescent="0.35">
      <c r="B173" s="2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2:15" x14ac:dyDescent="0.35">
      <c r="B174" s="2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2:15" x14ac:dyDescent="0.35">
      <c r="B175" s="2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2:15" x14ac:dyDescent="0.35">
      <c r="B176" s="2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2:15" x14ac:dyDescent="0.35">
      <c r="B177" s="2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2:15" x14ac:dyDescent="0.35">
      <c r="B178" s="2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2:15" x14ac:dyDescent="0.35">
      <c r="B179" s="2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2:15" x14ac:dyDescent="0.35">
      <c r="B180" s="2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2:15" x14ac:dyDescent="0.35">
      <c r="B181" s="2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2:15" x14ac:dyDescent="0.35">
      <c r="B182" s="2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2:15" x14ac:dyDescent="0.35">
      <c r="B183" s="2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2:15" x14ac:dyDescent="0.35">
      <c r="B184" s="2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2:15" x14ac:dyDescent="0.35">
      <c r="B185" s="2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2:15" x14ac:dyDescent="0.35">
      <c r="B186" s="2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2:15" x14ac:dyDescent="0.35">
      <c r="B187" s="2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2:15" x14ac:dyDescent="0.35">
      <c r="B188" s="2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2:15" x14ac:dyDescent="0.35">
      <c r="B189" s="2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2:15" x14ac:dyDescent="0.35">
      <c r="B190" s="2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2:15" x14ac:dyDescent="0.35">
      <c r="B191" s="2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2:15" x14ac:dyDescent="0.35">
      <c r="B192" s="2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2:15" x14ac:dyDescent="0.35">
      <c r="B193" s="2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2:15" x14ac:dyDescent="0.35">
      <c r="B194" s="2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2:15" x14ac:dyDescent="0.35">
      <c r="B195" s="2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2:15" x14ac:dyDescent="0.35">
      <c r="B196" s="2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2:15" x14ac:dyDescent="0.35">
      <c r="B197" s="2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2:15" x14ac:dyDescent="0.35">
      <c r="B198" s="2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2:15" x14ac:dyDescent="0.35">
      <c r="B199" s="2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2:15" x14ac:dyDescent="0.35">
      <c r="B200" s="2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2:15" x14ac:dyDescent="0.35">
      <c r="B201" s="2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2:15" x14ac:dyDescent="0.35">
      <c r="B202" s="2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2:15" x14ac:dyDescent="0.35">
      <c r="B203" s="2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2:15" x14ac:dyDescent="0.35">
      <c r="B204" s="2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2:15" x14ac:dyDescent="0.35">
      <c r="B205" s="2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2:15" x14ac:dyDescent="0.35">
      <c r="B206" s="2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2:15" x14ac:dyDescent="0.35">
      <c r="B207" s="2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2:15" x14ac:dyDescent="0.35">
      <c r="B208" s="2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2:15" x14ac:dyDescent="0.35">
      <c r="B209" s="2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2:15" x14ac:dyDescent="0.35">
      <c r="B210" s="2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2:15" x14ac:dyDescent="0.35">
      <c r="B211" s="2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2:15" x14ac:dyDescent="0.35">
      <c r="B212" s="2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2:15" x14ac:dyDescent="0.35">
      <c r="B213" s="2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2:15" x14ac:dyDescent="0.35">
      <c r="B214" s="2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2:15" x14ac:dyDescent="0.35">
      <c r="B215" s="2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2:15" x14ac:dyDescent="0.35">
      <c r="B216" s="2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2:15" x14ac:dyDescent="0.35">
      <c r="B217" s="2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2:15" x14ac:dyDescent="0.35">
      <c r="B218" s="2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2:15" x14ac:dyDescent="0.35">
      <c r="B219" s="2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2:15" x14ac:dyDescent="0.35">
      <c r="B220" s="2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2:15" x14ac:dyDescent="0.35">
      <c r="B221" s="2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2:15" x14ac:dyDescent="0.35">
      <c r="B222" s="2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2:15" x14ac:dyDescent="0.35">
      <c r="B223" s="2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2:15" x14ac:dyDescent="0.35">
      <c r="B224" s="2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2:15" x14ac:dyDescent="0.35">
      <c r="B225" s="2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2:15" x14ac:dyDescent="0.35">
      <c r="B226" s="2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2:15" x14ac:dyDescent="0.35">
      <c r="B227" s="2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2:15" x14ac:dyDescent="0.35">
      <c r="B228" s="2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2:15" x14ac:dyDescent="0.35">
      <c r="B229" s="2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2:15" x14ac:dyDescent="0.35">
      <c r="B230" s="2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2:15" x14ac:dyDescent="0.35">
      <c r="B231" s="2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2:15" x14ac:dyDescent="0.35">
      <c r="B232" s="2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2:15" x14ac:dyDescent="0.35">
      <c r="B233" s="2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2:15" x14ac:dyDescent="0.35">
      <c r="B234" s="2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2:15" x14ac:dyDescent="0.35">
      <c r="B235" s="2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2:15" x14ac:dyDescent="0.35">
      <c r="B236" s="2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2:15" x14ac:dyDescent="0.35">
      <c r="B237" s="2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2:15" x14ac:dyDescent="0.35">
      <c r="B238" s="2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2:15" x14ac:dyDescent="0.35">
      <c r="B239" s="2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2:15" x14ac:dyDescent="0.35">
      <c r="B240" s="2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2:15" x14ac:dyDescent="0.35">
      <c r="B241" s="2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2:15" x14ac:dyDescent="0.35">
      <c r="B242" s="2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2:15" x14ac:dyDescent="0.35">
      <c r="B243" s="2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2:15" x14ac:dyDescent="0.35">
      <c r="B244" s="2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2:15" x14ac:dyDescent="0.35">
      <c r="B245" s="2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2:15" x14ac:dyDescent="0.35">
      <c r="B246" s="2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2:15" x14ac:dyDescent="0.35">
      <c r="B247" s="2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2:15" x14ac:dyDescent="0.35">
      <c r="B248" s="2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2:15" x14ac:dyDescent="0.35">
      <c r="B249" s="2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2:15" x14ac:dyDescent="0.35">
      <c r="B250" s="2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2:15" x14ac:dyDescent="0.35"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2:15" x14ac:dyDescent="0.35">
      <c r="B252" s="2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2:15" x14ac:dyDescent="0.35">
      <c r="B253" s="2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2:15" x14ac:dyDescent="0.35">
      <c r="B254" s="2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2:15" x14ac:dyDescent="0.35">
      <c r="B255" s="2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2:15" x14ac:dyDescent="0.35">
      <c r="B256" s="2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2:15" x14ac:dyDescent="0.35">
      <c r="B257" s="2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2:15" x14ac:dyDescent="0.35">
      <c r="B258" s="2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2:15" x14ac:dyDescent="0.35">
      <c r="B259" s="2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2:15" x14ac:dyDescent="0.35">
      <c r="B260" s="2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2:15" x14ac:dyDescent="0.35">
      <c r="B261" s="2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2:15" x14ac:dyDescent="0.35">
      <c r="B262" s="2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2:15" x14ac:dyDescent="0.35">
      <c r="B263" s="2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2:15" x14ac:dyDescent="0.35">
      <c r="B264" s="2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2:15" x14ac:dyDescent="0.35">
      <c r="B265" s="2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2:15" x14ac:dyDescent="0.35">
      <c r="B266" s="2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2:15" x14ac:dyDescent="0.35">
      <c r="B267" s="2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2:15" x14ac:dyDescent="0.35">
      <c r="B268" s="2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2:15" x14ac:dyDescent="0.35">
      <c r="B269" s="2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2:15" x14ac:dyDescent="0.35">
      <c r="B270" s="2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2:15" x14ac:dyDescent="0.35">
      <c r="B271" s="2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2:15" x14ac:dyDescent="0.35">
      <c r="B272" s="2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2:15" x14ac:dyDescent="0.35">
      <c r="B273" s="2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2:15" x14ac:dyDescent="0.35">
      <c r="B274" s="2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2:15" x14ac:dyDescent="0.35">
      <c r="B275" s="2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2:15" x14ac:dyDescent="0.35">
      <c r="B276" s="2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2:15" x14ac:dyDescent="0.35">
      <c r="B277" s="2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2:15" x14ac:dyDescent="0.35">
      <c r="B278" s="2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2:15" x14ac:dyDescent="0.35">
      <c r="B279" s="2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2:15" x14ac:dyDescent="0.35">
      <c r="B280" s="2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2:15" x14ac:dyDescent="0.35">
      <c r="B281" s="2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2:15" x14ac:dyDescent="0.35">
      <c r="B282" s="2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2:15" x14ac:dyDescent="0.35">
      <c r="B283" s="2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2:15" x14ac:dyDescent="0.35">
      <c r="B284" s="2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2:15" x14ac:dyDescent="0.35">
      <c r="B285" s="2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2:15" x14ac:dyDescent="0.35">
      <c r="B286" s="2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2:15" x14ac:dyDescent="0.35">
      <c r="B287" s="2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2:15" x14ac:dyDescent="0.35">
      <c r="B288" s="2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2:15" x14ac:dyDescent="0.35">
      <c r="B289" s="2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2:15" x14ac:dyDescent="0.35">
      <c r="B290" s="2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2:15" x14ac:dyDescent="0.35">
      <c r="B291" s="2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2:15" x14ac:dyDescent="0.35">
      <c r="B292" s="2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2:15" x14ac:dyDescent="0.35">
      <c r="B293" s="2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2:15" x14ac:dyDescent="0.35">
      <c r="B294" s="2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2:15" x14ac:dyDescent="0.35">
      <c r="B295" s="2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2:15" x14ac:dyDescent="0.35">
      <c r="B296" s="2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2:15" x14ac:dyDescent="0.35">
      <c r="B297" s="2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2:15" x14ac:dyDescent="0.35">
      <c r="B298" s="2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2:15" x14ac:dyDescent="0.35">
      <c r="B299" s="2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2:15" x14ac:dyDescent="0.35">
      <c r="B300" s="2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2:15" x14ac:dyDescent="0.35">
      <c r="B301" s="2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2:15" x14ac:dyDescent="0.35">
      <c r="B302" s="2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2:15" x14ac:dyDescent="0.35">
      <c r="B303" s="2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2:15" x14ac:dyDescent="0.35">
      <c r="B304" s="2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2:15" x14ac:dyDescent="0.35">
      <c r="B305" s="2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2:15" x14ac:dyDescent="0.35">
      <c r="B306" s="2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2:15" x14ac:dyDescent="0.35">
      <c r="B307" s="2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2:15" x14ac:dyDescent="0.35">
      <c r="B308" s="2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2:15" x14ac:dyDescent="0.35">
      <c r="B309" s="2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2:15" x14ac:dyDescent="0.35">
      <c r="B310" s="2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2:15" x14ac:dyDescent="0.35">
      <c r="B311" s="2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2:15" x14ac:dyDescent="0.35">
      <c r="B312" s="2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2:15" x14ac:dyDescent="0.35">
      <c r="B313" s="2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2:15" x14ac:dyDescent="0.35">
      <c r="B314" s="2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2:15" x14ac:dyDescent="0.35">
      <c r="B315" s="2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2:15" x14ac:dyDescent="0.35">
      <c r="B316" s="2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2:15" x14ac:dyDescent="0.35">
      <c r="B317" s="2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2:15" x14ac:dyDescent="0.35">
      <c r="B318" s="2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2:15" x14ac:dyDescent="0.35">
      <c r="B319" s="2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2:15" x14ac:dyDescent="0.35">
      <c r="B320" s="2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2:15" x14ac:dyDescent="0.35">
      <c r="B321" s="2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2:15" x14ac:dyDescent="0.35">
      <c r="B322" s="2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2:15" x14ac:dyDescent="0.35">
      <c r="B323" s="2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2:15" x14ac:dyDescent="0.35">
      <c r="B324" s="2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2:15" x14ac:dyDescent="0.35">
      <c r="B325" s="2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2:15" x14ac:dyDescent="0.35">
      <c r="B326" s="2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2:15" x14ac:dyDescent="0.35">
      <c r="B327" s="2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2:15" x14ac:dyDescent="0.35">
      <c r="B328" s="2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2:15" x14ac:dyDescent="0.35">
      <c r="B329" s="2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2:15" x14ac:dyDescent="0.35">
      <c r="B330" s="2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2:15" x14ac:dyDescent="0.35">
      <c r="B331" s="2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2:15" x14ac:dyDescent="0.35">
      <c r="B332" s="2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2:15" x14ac:dyDescent="0.35">
      <c r="B333" s="2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2:15" x14ac:dyDescent="0.35">
      <c r="B334" s="2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2:15" x14ac:dyDescent="0.35">
      <c r="B335" s="2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2:15" x14ac:dyDescent="0.35">
      <c r="B336" s="2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2:15" x14ac:dyDescent="0.35">
      <c r="B337" s="2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2:15" x14ac:dyDescent="0.35">
      <c r="B338" s="2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2:15" x14ac:dyDescent="0.35">
      <c r="B339" s="2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2:15" x14ac:dyDescent="0.35">
      <c r="B340" s="2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2:15" x14ac:dyDescent="0.35">
      <c r="B341" s="2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2:15" x14ac:dyDescent="0.35">
      <c r="B342" s="2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2:15" x14ac:dyDescent="0.35">
      <c r="B343" s="2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2:15" x14ac:dyDescent="0.35">
      <c r="B344" s="2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2:15" x14ac:dyDescent="0.35">
      <c r="B345" s="2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2:15" x14ac:dyDescent="0.35">
      <c r="B346" s="2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2:15" x14ac:dyDescent="0.35">
      <c r="B347" s="2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2:15" x14ac:dyDescent="0.35">
      <c r="B348" s="2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2:15" x14ac:dyDescent="0.35">
      <c r="B349" s="2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2:15" x14ac:dyDescent="0.35">
      <c r="B350" s="2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2:15" x14ac:dyDescent="0.35">
      <c r="B351" s="2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2:15" x14ac:dyDescent="0.35">
      <c r="B352" s="2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2:15" x14ac:dyDescent="0.35">
      <c r="B353" s="2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2:15" x14ac:dyDescent="0.35">
      <c r="B354" s="2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2:15" x14ac:dyDescent="0.35">
      <c r="B355" s="2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2:15" x14ac:dyDescent="0.35">
      <c r="B356" s="2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2:15" x14ac:dyDescent="0.35">
      <c r="B357" s="2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2:15" x14ac:dyDescent="0.35">
      <c r="B358" s="2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2:15" x14ac:dyDescent="0.35">
      <c r="B359" s="2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2:15" x14ac:dyDescent="0.35">
      <c r="B360" s="2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2:15" x14ac:dyDescent="0.35">
      <c r="B361" s="2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2:15" x14ac:dyDescent="0.35">
      <c r="B362" s="2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2:15" x14ac:dyDescent="0.35">
      <c r="B363" s="2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2:15" x14ac:dyDescent="0.35">
      <c r="B364" s="2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2:15" x14ac:dyDescent="0.35">
      <c r="B365" s="2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2:15" x14ac:dyDescent="0.35">
      <c r="B366" s="2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2:15" x14ac:dyDescent="0.35">
      <c r="B367" s="2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2:15" x14ac:dyDescent="0.35">
      <c r="B368" s="2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2:15" x14ac:dyDescent="0.35">
      <c r="B369" s="2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2:15" x14ac:dyDescent="0.35">
      <c r="B370" s="2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2:15" x14ac:dyDescent="0.35">
      <c r="B371" s="2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2:15" x14ac:dyDescent="0.35">
      <c r="B372" s="2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2:15" x14ac:dyDescent="0.35">
      <c r="B373" s="2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2:15" x14ac:dyDescent="0.35">
      <c r="B374" s="2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2:15" x14ac:dyDescent="0.35">
      <c r="B375" s="2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2:15" x14ac:dyDescent="0.35">
      <c r="B376" s="2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2:15" x14ac:dyDescent="0.35">
      <c r="B377" s="2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2:15" x14ac:dyDescent="0.35">
      <c r="B378" s="2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2:15" x14ac:dyDescent="0.35">
      <c r="B379" s="2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2:15" x14ac:dyDescent="0.35">
      <c r="B380" s="2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2:15" x14ac:dyDescent="0.35">
      <c r="B381" s="2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2:15" x14ac:dyDescent="0.35">
      <c r="B382" s="2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2:15" x14ac:dyDescent="0.35">
      <c r="B383" s="2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2:15" x14ac:dyDescent="0.35">
      <c r="B384" s="2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2:15" x14ac:dyDescent="0.35">
      <c r="B385" s="2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2:15" x14ac:dyDescent="0.35">
      <c r="B386" s="2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2:15" x14ac:dyDescent="0.35">
      <c r="B387" s="2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2:15" x14ac:dyDescent="0.35">
      <c r="B388" s="2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2:15" x14ac:dyDescent="0.35">
      <c r="B389" s="2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2:15" x14ac:dyDescent="0.35">
      <c r="B390" s="2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2:15" x14ac:dyDescent="0.35">
      <c r="B391" s="2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2:15" x14ac:dyDescent="0.35">
      <c r="B392" s="2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2:15" x14ac:dyDescent="0.35">
      <c r="B393" s="2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2:15" x14ac:dyDescent="0.35">
      <c r="B394" s="2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2:15" x14ac:dyDescent="0.35">
      <c r="B395" s="2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2:15" x14ac:dyDescent="0.35">
      <c r="B396" s="2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2:15" x14ac:dyDescent="0.35">
      <c r="B397" s="2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2:15" x14ac:dyDescent="0.35">
      <c r="B398" s="2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2:15" x14ac:dyDescent="0.35">
      <c r="B399" s="2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2:15" x14ac:dyDescent="0.35">
      <c r="B400" s="2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2:15" x14ac:dyDescent="0.35">
      <c r="B401" s="2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2:15" x14ac:dyDescent="0.35">
      <c r="B402" s="2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2:15" x14ac:dyDescent="0.35">
      <c r="B403" s="2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2:15" x14ac:dyDescent="0.35">
      <c r="B404" s="2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2:15" x14ac:dyDescent="0.35">
      <c r="B405" s="2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2:15" x14ac:dyDescent="0.35">
      <c r="B406" s="2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2:15" x14ac:dyDescent="0.35">
      <c r="B407" s="2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2:15" x14ac:dyDescent="0.35">
      <c r="B408" s="2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2:15" x14ac:dyDescent="0.35">
      <c r="B409" s="2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2:15" x14ac:dyDescent="0.35">
      <c r="B410" s="2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2:15" x14ac:dyDescent="0.35">
      <c r="B411" s="2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2:15" x14ac:dyDescent="0.35">
      <c r="B412" s="2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2:15" x14ac:dyDescent="0.35">
      <c r="B413" s="2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2:15" x14ac:dyDescent="0.35">
      <c r="B414" s="2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2:15" x14ac:dyDescent="0.35">
      <c r="B415" s="2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2:15" x14ac:dyDescent="0.35">
      <c r="B416" s="2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2:15" x14ac:dyDescent="0.35">
      <c r="B417" s="2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2:15" x14ac:dyDescent="0.35">
      <c r="B418" s="2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2:15" x14ac:dyDescent="0.35">
      <c r="B419" s="2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2:15" x14ac:dyDescent="0.35">
      <c r="B420" s="2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2:15" x14ac:dyDescent="0.35">
      <c r="B421" s="2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2:15" x14ac:dyDescent="0.35">
      <c r="B422" s="2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2:15" x14ac:dyDescent="0.35">
      <c r="B423" s="2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2:15" x14ac:dyDescent="0.35">
      <c r="B424" s="2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2:15" x14ac:dyDescent="0.35">
      <c r="B425" s="2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2:15" x14ac:dyDescent="0.35">
      <c r="B426" s="2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2:15" x14ac:dyDescent="0.35">
      <c r="B427" s="2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2:15" x14ac:dyDescent="0.35">
      <c r="B428" s="2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2:15" x14ac:dyDescent="0.35">
      <c r="B429" s="2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2:15" x14ac:dyDescent="0.35">
      <c r="B430" s="2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2:15" x14ac:dyDescent="0.35">
      <c r="B431" s="2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2:15" x14ac:dyDescent="0.35">
      <c r="B432" s="2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2:15" x14ac:dyDescent="0.35">
      <c r="B433" s="2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2:15" x14ac:dyDescent="0.35">
      <c r="B434" s="2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2:15" x14ac:dyDescent="0.35">
      <c r="B435" s="2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2:15" x14ac:dyDescent="0.35">
      <c r="B436" s="2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2:15" x14ac:dyDescent="0.35">
      <c r="B437" s="2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2:15" x14ac:dyDescent="0.35">
      <c r="B438" s="2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2:15" x14ac:dyDescent="0.35">
      <c r="B439" s="2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2:15" x14ac:dyDescent="0.35">
      <c r="B440" s="2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2:15" x14ac:dyDescent="0.35">
      <c r="B441" s="2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2:15" x14ac:dyDescent="0.35">
      <c r="B442" s="2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2:15" x14ac:dyDescent="0.35">
      <c r="B443" s="2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2:15" x14ac:dyDescent="0.35">
      <c r="B444" s="2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2:15" x14ac:dyDescent="0.35">
      <c r="B445" s="2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2:15" x14ac:dyDescent="0.35">
      <c r="B446" s="2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2:15" x14ac:dyDescent="0.35">
      <c r="B447" s="2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2:15" x14ac:dyDescent="0.35">
      <c r="B448" s="2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2:15" x14ac:dyDescent="0.35">
      <c r="B449" s="2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2:15" x14ac:dyDescent="0.35">
      <c r="B450" s="2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2:15" x14ac:dyDescent="0.35">
      <c r="B451" s="2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2:15" x14ac:dyDescent="0.35">
      <c r="B452" s="2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2:15" x14ac:dyDescent="0.35">
      <c r="B453" s="2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2:15" x14ac:dyDescent="0.35">
      <c r="B454" s="2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2:15" x14ac:dyDescent="0.35">
      <c r="B455" s="2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2:15" x14ac:dyDescent="0.35">
      <c r="B456" s="2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2:15" x14ac:dyDescent="0.35">
      <c r="B457" s="2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2:15" x14ac:dyDescent="0.35">
      <c r="B458" s="2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2:15" x14ac:dyDescent="0.35">
      <c r="B459" s="2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2:15" x14ac:dyDescent="0.35">
      <c r="B460" s="2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2:15" x14ac:dyDescent="0.35">
      <c r="B461" s="2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2:15" x14ac:dyDescent="0.35">
      <c r="B462" s="2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2:15" x14ac:dyDescent="0.35">
      <c r="B463" s="2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2:15" x14ac:dyDescent="0.35">
      <c r="B464" s="2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2:15" x14ac:dyDescent="0.35">
      <c r="B465" s="2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2:15" x14ac:dyDescent="0.35">
      <c r="B466" s="2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2:15" x14ac:dyDescent="0.35">
      <c r="B467" s="2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2:15" x14ac:dyDescent="0.35">
      <c r="B468" s="2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2:15" x14ac:dyDescent="0.35">
      <c r="B469" s="2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2:15" x14ac:dyDescent="0.35">
      <c r="B470" s="2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2:15" x14ac:dyDescent="0.35">
      <c r="B471" s="2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2:15" x14ac:dyDescent="0.35">
      <c r="B472" s="2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2:15" x14ac:dyDescent="0.35">
      <c r="B473" s="2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2:15" x14ac:dyDescent="0.35">
      <c r="B474" s="2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2:15" x14ac:dyDescent="0.35">
      <c r="B475" s="2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2:15" x14ac:dyDescent="0.35">
      <c r="B476" s="2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2:15" x14ac:dyDescent="0.35">
      <c r="B477" s="2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2:15" x14ac:dyDescent="0.35">
      <c r="B478" s="2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2:15" x14ac:dyDescent="0.35">
      <c r="B479" s="2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2:15" x14ac:dyDescent="0.35">
      <c r="B480" s="2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2:15" x14ac:dyDescent="0.35">
      <c r="B481" s="2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2:15" x14ac:dyDescent="0.35">
      <c r="B482" s="2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2:15" x14ac:dyDescent="0.35">
      <c r="B483" s="2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2:15" x14ac:dyDescent="0.35">
      <c r="B484" s="2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2:15" x14ac:dyDescent="0.35">
      <c r="B485" s="2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2:15" x14ac:dyDescent="0.35">
      <c r="B486" s="2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2:15" x14ac:dyDescent="0.35">
      <c r="B487" s="2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2:15" x14ac:dyDescent="0.35">
      <c r="B488" s="2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2:15" x14ac:dyDescent="0.35">
      <c r="B489" s="2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2:15" x14ac:dyDescent="0.35">
      <c r="B490" s="2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2:15" x14ac:dyDescent="0.35">
      <c r="B491" s="2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2:15" x14ac:dyDescent="0.35">
      <c r="B492" s="2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2:15" x14ac:dyDescent="0.35">
      <c r="B493" s="2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2:15" x14ac:dyDescent="0.35">
      <c r="B494" s="2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2:15" x14ac:dyDescent="0.35">
      <c r="B495" s="2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2:15" x14ac:dyDescent="0.35">
      <c r="B496" s="2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2:15" x14ac:dyDescent="0.35">
      <c r="B497" s="2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2:15" x14ac:dyDescent="0.35">
      <c r="B498" s="2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2:15" x14ac:dyDescent="0.35">
      <c r="B499" s="2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2:15" x14ac:dyDescent="0.35">
      <c r="B500" s="2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</sheetData>
  <sheetProtection algorithmName="SHA-512" hashValue="P/a8pTMBf4vfwUUKgZrHvpKuHEGHd2whtTclRDzW2adFd2/lHAM79fBzugnfO1O95mp5psWhD9K6GlHo1NFxig==" saltValue="dPbx7jBj+2Jzkd5AgB0oWQ==" spinCount="100000" sheet="1" objects="1" scenarios="1" formatCells="0" formatColumns="0"/>
  <mergeCells count="15">
    <mergeCell ref="B6:B9"/>
    <mergeCell ref="E6:E9"/>
    <mergeCell ref="F6:O6"/>
    <mergeCell ref="F7:O7"/>
    <mergeCell ref="F8:J8"/>
    <mergeCell ref="K8:O8"/>
    <mergeCell ref="C6:C9"/>
    <mergeCell ref="D6:D9"/>
    <mergeCell ref="Q3:R3"/>
    <mergeCell ref="P4:Q4"/>
    <mergeCell ref="F4:G4"/>
    <mergeCell ref="H4:J4"/>
    <mergeCell ref="B1:O1"/>
    <mergeCell ref="B2:O2"/>
    <mergeCell ref="M4:N4"/>
  </mergeCells>
  <dataValidations count="4">
    <dataValidation type="textLength" operator="equal" allowBlank="1" showInputMessage="1" showErrorMessage="1" error="LA CCT NO CONTIENE 10 CARACTERES" sqref="C4" xr:uid="{B5578279-052F-4FA4-9027-BA09D9C33560}">
      <formula1>10</formula1>
    </dataValidation>
    <dataValidation type="whole" allowBlank="1" showInputMessage="1" showErrorMessage="1" error="0, 1, 2 o 3" prompt="0, 1, 2 o 3" sqref="F10:O500" xr:uid="{881DE15F-87C5-4D49-9B43-7CAF5D683821}">
      <formula1>0</formula1>
      <formula2>3</formula2>
    </dataValidation>
    <dataValidation allowBlank="1" showInputMessage="1" showErrorMessage="1" prompt="H o M" sqref="D10:D500" xr:uid="{BB0123C5-B692-4FC0-83F8-A83F671DF9EB}"/>
    <dataValidation allowBlank="1" showInputMessage="1" showErrorMessage="1" prompt="A-Z" sqref="E10:E500" xr:uid="{2FB930A8-9F65-4911-9067-5A5E2382CF49}"/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3441-E4EA-4E4D-BF0C-249E2356E76F}">
  <dimension ref="A1:R500"/>
  <sheetViews>
    <sheetView showGridLines="0" zoomScale="110" zoomScaleNormal="110" workbookViewId="0">
      <selection activeCell="A10" sqref="A10"/>
    </sheetView>
  </sheetViews>
  <sheetFormatPr baseColWidth="10" defaultRowHeight="18" x14ac:dyDescent="0.35"/>
  <cols>
    <col min="1" max="1" width="5.28515625" style="5" customWidth="1"/>
    <col min="2" max="2" width="8.140625" style="5" customWidth="1"/>
    <col min="3" max="3" width="42.42578125" style="5" customWidth="1"/>
    <col min="4" max="18" width="7.28515625" style="5" customWidth="1"/>
    <col min="19" max="16384" width="11.42578125" style="5"/>
  </cols>
  <sheetData>
    <row r="1" spans="1:18" x14ac:dyDescent="0.35">
      <c r="A1" s="17">
        <v>3</v>
      </c>
      <c r="B1" s="81" t="s">
        <v>39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18"/>
      <c r="Q1" s="18"/>
      <c r="R1" s="18"/>
    </row>
    <row r="2" spans="1:18" x14ac:dyDescent="0.35">
      <c r="A2" s="18"/>
      <c r="B2" s="82" t="s">
        <v>55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30"/>
      <c r="Q2" s="30"/>
      <c r="R2" s="30"/>
    </row>
    <row r="3" spans="1:18" ht="6.75" customHeight="1" x14ac:dyDescent="0.35">
      <c r="A3" s="18"/>
      <c r="B3" s="19"/>
      <c r="C3" s="20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92"/>
      <c r="R3" s="92"/>
    </row>
    <row r="4" spans="1:18" ht="16.5" customHeight="1" x14ac:dyDescent="0.35">
      <c r="A4" s="18"/>
      <c r="B4" s="22" t="s">
        <v>0</v>
      </c>
      <c r="C4" s="23">
        <f>ESC!D9</f>
        <v>0</v>
      </c>
      <c r="D4" s="18"/>
      <c r="E4" s="24"/>
      <c r="F4" s="79" t="s">
        <v>1</v>
      </c>
      <c r="G4" s="79"/>
      <c r="H4" s="80">
        <f>ESC!D11</f>
        <v>0</v>
      </c>
      <c r="I4" s="80"/>
      <c r="J4" s="80"/>
      <c r="K4" s="25"/>
      <c r="L4" s="25"/>
      <c r="M4" s="79" t="s">
        <v>2</v>
      </c>
      <c r="N4" s="79"/>
      <c r="O4" s="26">
        <v>2</v>
      </c>
      <c r="P4" s="92"/>
      <c r="Q4" s="92"/>
      <c r="R4" s="18"/>
    </row>
    <row r="5" spans="1:18" ht="6" customHeight="1" x14ac:dyDescent="0.35">
      <c r="A5" s="18"/>
      <c r="B5" s="24"/>
      <c r="C5" s="27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s="6" customFormat="1" ht="12.75" customHeight="1" x14ac:dyDescent="0.25">
      <c r="A6" s="24"/>
      <c r="B6" s="83" t="s">
        <v>3</v>
      </c>
      <c r="C6" s="89" t="s">
        <v>68</v>
      </c>
      <c r="D6" s="84" t="s">
        <v>67</v>
      </c>
      <c r="E6" s="84" t="s">
        <v>6</v>
      </c>
      <c r="F6" s="85" t="s">
        <v>4</v>
      </c>
      <c r="G6" s="85"/>
      <c r="H6" s="85"/>
      <c r="I6" s="85"/>
      <c r="J6" s="85"/>
      <c r="K6" s="85"/>
      <c r="L6" s="85"/>
      <c r="M6" s="85"/>
      <c r="N6" s="85"/>
      <c r="O6" s="85"/>
      <c r="P6" s="24"/>
      <c r="Q6" s="24"/>
      <c r="R6" s="24"/>
    </row>
    <row r="7" spans="1:18" s="6" customFormat="1" ht="12.75" x14ac:dyDescent="0.25">
      <c r="A7" s="24"/>
      <c r="B7" s="83"/>
      <c r="C7" s="90"/>
      <c r="D7" s="83"/>
      <c r="E7" s="83"/>
      <c r="F7" s="86" t="s">
        <v>5</v>
      </c>
      <c r="G7" s="87"/>
      <c r="H7" s="87"/>
      <c r="I7" s="87"/>
      <c r="J7" s="87"/>
      <c r="K7" s="87"/>
      <c r="L7" s="87"/>
      <c r="M7" s="87"/>
      <c r="N7" s="87"/>
      <c r="O7" s="88"/>
      <c r="P7" s="24"/>
      <c r="Q7" s="24"/>
      <c r="R7" s="24"/>
    </row>
    <row r="8" spans="1:18" s="6" customFormat="1" ht="12.75" x14ac:dyDescent="0.25">
      <c r="A8" s="24"/>
      <c r="B8" s="83"/>
      <c r="C8" s="90"/>
      <c r="D8" s="83"/>
      <c r="E8" s="83"/>
      <c r="F8" s="86" t="s">
        <v>7</v>
      </c>
      <c r="G8" s="87"/>
      <c r="H8" s="87"/>
      <c r="I8" s="87"/>
      <c r="J8" s="88"/>
      <c r="K8" s="86" t="s">
        <v>8</v>
      </c>
      <c r="L8" s="87"/>
      <c r="M8" s="87"/>
      <c r="N8" s="87"/>
      <c r="O8" s="88"/>
      <c r="P8" s="24"/>
      <c r="Q8" s="24"/>
      <c r="R8" s="24"/>
    </row>
    <row r="9" spans="1:18" s="6" customFormat="1" ht="66.75" customHeight="1" x14ac:dyDescent="0.25">
      <c r="A9" s="24"/>
      <c r="B9" s="83"/>
      <c r="C9" s="91"/>
      <c r="D9" s="83"/>
      <c r="E9" s="83"/>
      <c r="F9" s="29" t="s">
        <v>9</v>
      </c>
      <c r="G9" s="29" t="s">
        <v>10</v>
      </c>
      <c r="H9" s="29" t="s">
        <v>11</v>
      </c>
      <c r="I9" s="29" t="s">
        <v>12</v>
      </c>
      <c r="J9" s="29" t="s">
        <v>13</v>
      </c>
      <c r="K9" s="29" t="s">
        <v>9</v>
      </c>
      <c r="L9" s="29" t="s">
        <v>10</v>
      </c>
      <c r="M9" s="29" t="s">
        <v>12</v>
      </c>
      <c r="N9" s="29" t="s">
        <v>14</v>
      </c>
      <c r="O9" s="29" t="s">
        <v>13</v>
      </c>
      <c r="P9" s="24"/>
      <c r="Q9" s="24"/>
      <c r="R9" s="24"/>
    </row>
    <row r="10" spans="1:18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8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8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8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8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8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8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2:15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2:15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2:15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2:15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2:15" x14ac:dyDescent="0.3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2:15" x14ac:dyDescent="0.3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2:15" x14ac:dyDescent="0.3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2:15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2:15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2:15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5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2:15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2:15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2:15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2:15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2:15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2:15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2:15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2:15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2:15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2:15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2:15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2:15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2:15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2:15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2:15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2:15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2:15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2:15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2:15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2:15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2:15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2:15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2:15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2:15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2:15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2:15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2:15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2:15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2:15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2:15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2:15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2:15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2:15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2:15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2:15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2:15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2:15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2:15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2:15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2:15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2:15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2:15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2:15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2:15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2:15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2:15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2:15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2:15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2:15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2:15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2:15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2:15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2:15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2:15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2:15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2:15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2:15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2:15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2:15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2:15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2:15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2:15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2:15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2:15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2:15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2:15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2:15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2:15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2:15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2:15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2:15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2:15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2:15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2:15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2:15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2:15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2:15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2:15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2:15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2:15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2:15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2:15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2:15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2:15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2:15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2:15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2:15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2:15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2:15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2:15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2:15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2:15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2:15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2:15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2:15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2:15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2:15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2:15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2:15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2:15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2:15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2:15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2:15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2:15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2:15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2:15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2:15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2:15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2:15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2:15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2:15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2:15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2:15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2:15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2:15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2:15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2:15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2:15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2:15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2:15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2:15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2:15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2:15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2:15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2:15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2:15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2:15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2:15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2:15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2:15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2:15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2:15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2:15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2:15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2:15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2:15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2:15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2:15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2:15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2:15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2:15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2:15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2:15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2:15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2:15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2:15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2:15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2:15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2:15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2:15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2:15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2:15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2:15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2:15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2:15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2:15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2:15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2:15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2:15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2:15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2:15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2:15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2:15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2:15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2:15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2:15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2:15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2:15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2:15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2:15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2:15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2:15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2:15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2:15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2:15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2:15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2:15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2:15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2:15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2:15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2:15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2:15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2:15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2:15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2:15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2:15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2:15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2:15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2:15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2:15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2:15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2:15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2:15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2:15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2:15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2:15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2:15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2:15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2:15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2:15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2:15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2:15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2:15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2:15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2:15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2:15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2:15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2:15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2:15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2:15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2:15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2:15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2:15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2:15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2:15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2:15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2:15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2:15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2:15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2:15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2:15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2:15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2:15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2:15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2:15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2:15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2:15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2:15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2:15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2:15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2:15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2:15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2:15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2:15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2:15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2:15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2:15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2:15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2:15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2:15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2:15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2:15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2:15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2:15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2:15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2:15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2:15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2:15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2:15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2:15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2:15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2:15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2:15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2:15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2:15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2:15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2:15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2:15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2:15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2:15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2:15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2:15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2:15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2:15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2:15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2:15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2:15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2:15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2:15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2:15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2:15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2:15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2:15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2:15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2:15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2:15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2:15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2:15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2:15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2:15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2:15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2:15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2:15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2:15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2:15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2:15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2:15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2:15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2:15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2:15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2:15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2:15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2:15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2:15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2:15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2:15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2:15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2:15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2:15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2:15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2:15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2:15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2:15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2:15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2:15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2:15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2:15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2:15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2:15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2:15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2:15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2:15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2:15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2:15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2:15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2:15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2:15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2:15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2:15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2:15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2:15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2:15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2:15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2:15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2:15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2:15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2:15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2:15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2:15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2:15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2:15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2:15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2:15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2:15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2:15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2:15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2:15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2:15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2:15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2:15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2:15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2:15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2:15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2:15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2:15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2:15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2:15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2:15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2:15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2:15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2:15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2:15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2:15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2:15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2:15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2:15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2:15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2:15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2:15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2:15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2:15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2:15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2:15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2:15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2:15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2:15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2:15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2:15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2:15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2:15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2:15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2:15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2:15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2:15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2:15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2:15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2:15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2:15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2:15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2:15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2:15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2:15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2:15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2:15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2:15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2:15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2:15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2:15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2:15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2:15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2:15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2:15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2:15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2:15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2:15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2:15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2:15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2:15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2:15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2:15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2:15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2:15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2:15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2:15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2:15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2:15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2:15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2:15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2:15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2:15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2:15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2:15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2:15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2:15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2:15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2:15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2:15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2:15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2:15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2:15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2:15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2:15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2:15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2:15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2:15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2:15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2:15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2:15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2:15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2:15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2:15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2:15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2:15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2:15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2:15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2:15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2:15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2:15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2:15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2:15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2:15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2:15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2:15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2:15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2:15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2:15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2:15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2:15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2:15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</sheetData>
  <sheetProtection algorithmName="SHA-512" hashValue="mDNDdNRcNmRq28iJFx7KekQLaRRXgMCnN13sogskBCPsr+B48t9Ynhp/CYK8tELVWKIfo9GmkwEmVazmAclHxw==" saltValue="uhCNwB17EV9vtbvACSehnQ==" spinCount="100000" sheet="1" objects="1" scenarios="1" formatCells="0" formatColumns="0"/>
  <mergeCells count="15">
    <mergeCell ref="B6:B9"/>
    <mergeCell ref="C6:C9"/>
    <mergeCell ref="D6:D9"/>
    <mergeCell ref="E6:E9"/>
    <mergeCell ref="F6:O6"/>
    <mergeCell ref="F7:O7"/>
    <mergeCell ref="F8:J8"/>
    <mergeCell ref="K8:O8"/>
    <mergeCell ref="B1:O1"/>
    <mergeCell ref="B2:O2"/>
    <mergeCell ref="Q3:R3"/>
    <mergeCell ref="F4:G4"/>
    <mergeCell ref="H4:J4"/>
    <mergeCell ref="P4:Q4"/>
    <mergeCell ref="M4:N4"/>
  </mergeCells>
  <dataValidations count="4">
    <dataValidation type="textLength" operator="equal" allowBlank="1" showInputMessage="1" showErrorMessage="1" error="LA CCT NO CONTIENE 10 CARACTERES" sqref="C4" xr:uid="{2EB1350D-48BF-4E16-9F42-539CE4C6D464}">
      <formula1>10</formula1>
    </dataValidation>
    <dataValidation type="whole" allowBlank="1" showInputMessage="1" showErrorMessage="1" error="0, 1, 2 o 3" prompt="0, 1, 2 o 3" sqref="F10:O500" xr:uid="{39A1D9E0-C234-4B9C-81A9-02220F3CC089}">
      <formula1>0</formula1>
      <formula2>3</formula2>
    </dataValidation>
    <dataValidation allowBlank="1" showInputMessage="1" showErrorMessage="1" prompt="H o M" sqref="D10:D500" xr:uid="{7D83A3FE-DB1E-42AD-8C55-BC0C3AF78178}"/>
    <dataValidation allowBlank="1" showInputMessage="1" showErrorMessage="1" prompt="A-Z" sqref="E10:E500" xr:uid="{897B6450-3F57-4694-AA21-E8CACBC54C6C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10A7-4299-4F3A-A774-BDAD9AB16A50}">
  <dimension ref="A1:AE500"/>
  <sheetViews>
    <sheetView showGridLines="0" zoomScale="110" zoomScaleNormal="110" workbookViewId="0">
      <selection activeCell="A10" sqref="A10"/>
    </sheetView>
  </sheetViews>
  <sheetFormatPr baseColWidth="10" defaultRowHeight="18" x14ac:dyDescent="0.35"/>
  <cols>
    <col min="1" max="1" width="5" style="5" customWidth="1"/>
    <col min="2" max="2" width="9.140625" style="5" customWidth="1"/>
    <col min="3" max="3" width="40" style="5" customWidth="1"/>
    <col min="4" max="31" width="6.5703125" style="5" customWidth="1"/>
    <col min="32" max="16384" width="11.42578125" style="5"/>
  </cols>
  <sheetData>
    <row r="1" spans="1:31" x14ac:dyDescent="0.35">
      <c r="A1" s="17">
        <v>4</v>
      </c>
      <c r="B1" s="81" t="s">
        <v>39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31"/>
      <c r="V1" s="31"/>
      <c r="W1" s="31"/>
      <c r="X1" s="31"/>
      <c r="Y1" s="31"/>
      <c r="Z1" s="31"/>
      <c r="AA1" s="31"/>
      <c r="AB1" s="31"/>
      <c r="AC1" s="31"/>
      <c r="AD1" s="31"/>
      <c r="AE1" s="18"/>
    </row>
    <row r="2" spans="1:31" ht="18" customHeight="1" x14ac:dyDescent="0.35">
      <c r="A2" s="18"/>
      <c r="B2" s="82" t="s">
        <v>56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31"/>
      <c r="V2" s="31"/>
      <c r="W2" s="31"/>
      <c r="X2" s="31"/>
      <c r="Y2" s="31"/>
      <c r="Z2" s="31"/>
      <c r="AA2" s="31"/>
      <c r="AB2" s="31"/>
      <c r="AC2" s="31"/>
      <c r="AD2" s="31"/>
      <c r="AE2" s="18"/>
    </row>
    <row r="3" spans="1:31" ht="6.75" customHeight="1" x14ac:dyDescent="0.35">
      <c r="A3" s="18"/>
      <c r="B3" s="19"/>
      <c r="C3" s="19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/>
      <c r="AD3"/>
      <c r="AE3" s="18"/>
    </row>
    <row r="4" spans="1:31" ht="16.5" customHeight="1" x14ac:dyDescent="0.35">
      <c r="A4" s="18"/>
      <c r="B4" s="22" t="s">
        <v>0</v>
      </c>
      <c r="C4" s="23">
        <f>ESC!D9</f>
        <v>0</v>
      </c>
      <c r="D4" s="18"/>
      <c r="E4" s="24"/>
      <c r="F4" s="79" t="s">
        <v>1</v>
      </c>
      <c r="G4" s="79"/>
      <c r="H4" s="80">
        <f>ESC!D11</f>
        <v>0</v>
      </c>
      <c r="I4" s="80"/>
      <c r="J4" s="80"/>
      <c r="K4" s="25"/>
      <c r="L4" s="25"/>
      <c r="M4" s="79" t="s">
        <v>2</v>
      </c>
      <c r="N4" s="79"/>
      <c r="O4" s="26">
        <v>3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/>
      <c r="AC4"/>
      <c r="AD4" s="18"/>
      <c r="AE4" s="18"/>
    </row>
    <row r="5" spans="1:31" ht="6.75" customHeight="1" x14ac:dyDescent="0.35">
      <c r="A5" s="18"/>
      <c r="B5" s="18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spans="1:31" s="6" customFormat="1" ht="12.75" customHeight="1" x14ac:dyDescent="0.25">
      <c r="A6" s="24"/>
      <c r="B6" s="83" t="s">
        <v>3</v>
      </c>
      <c r="C6" s="89" t="s">
        <v>68</v>
      </c>
      <c r="D6" s="84" t="s">
        <v>67</v>
      </c>
      <c r="E6" s="84" t="s">
        <v>6</v>
      </c>
      <c r="F6" s="85" t="s">
        <v>4</v>
      </c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</row>
    <row r="7" spans="1:31" s="6" customFormat="1" ht="12.75" x14ac:dyDescent="0.25">
      <c r="A7" s="24"/>
      <c r="B7" s="83"/>
      <c r="C7" s="90"/>
      <c r="D7" s="83"/>
      <c r="E7" s="83"/>
      <c r="F7" s="94" t="s">
        <v>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</row>
    <row r="8" spans="1:31" s="6" customFormat="1" ht="12.75" x14ac:dyDescent="0.25">
      <c r="A8" s="24"/>
      <c r="B8" s="83"/>
      <c r="C8" s="90"/>
      <c r="D8" s="83"/>
      <c r="E8" s="83"/>
      <c r="F8" s="86" t="s">
        <v>15</v>
      </c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8"/>
      <c r="T8" s="95" t="s">
        <v>16</v>
      </c>
      <c r="U8" s="96"/>
      <c r="V8" s="96"/>
      <c r="W8" s="96"/>
      <c r="X8" s="96"/>
      <c r="Y8" s="96"/>
      <c r="Z8" s="96"/>
      <c r="AA8" s="96"/>
      <c r="AB8" s="96"/>
      <c r="AC8" s="96"/>
      <c r="AD8" s="96"/>
      <c r="AE8" s="97"/>
    </row>
    <row r="9" spans="1:31" s="6" customFormat="1" ht="77.25" customHeight="1" x14ac:dyDescent="0.25">
      <c r="A9" s="24"/>
      <c r="B9" s="83"/>
      <c r="C9" s="91"/>
      <c r="D9" s="83"/>
      <c r="E9" s="83"/>
      <c r="F9" s="29" t="s">
        <v>9</v>
      </c>
      <c r="G9" s="29" t="s">
        <v>17</v>
      </c>
      <c r="H9" s="29" t="s">
        <v>18</v>
      </c>
      <c r="I9" s="29" t="s">
        <v>19</v>
      </c>
      <c r="J9" s="29" t="s">
        <v>20</v>
      </c>
      <c r="K9" s="29" t="s">
        <v>10</v>
      </c>
      <c r="L9" s="29" t="s">
        <v>11</v>
      </c>
      <c r="M9" s="29" t="s">
        <v>21</v>
      </c>
      <c r="N9" s="29" t="s">
        <v>22</v>
      </c>
      <c r="O9" s="29" t="s">
        <v>12</v>
      </c>
      <c r="P9" s="29" t="s">
        <v>23</v>
      </c>
      <c r="Q9" s="29" t="s">
        <v>13</v>
      </c>
      <c r="R9" s="29" t="s">
        <v>24</v>
      </c>
      <c r="S9" s="29" t="s">
        <v>25</v>
      </c>
      <c r="T9" s="29" t="s">
        <v>9</v>
      </c>
      <c r="U9" s="29" t="s">
        <v>18</v>
      </c>
      <c r="V9" s="29" t="s">
        <v>10</v>
      </c>
      <c r="W9" s="29" t="s">
        <v>12</v>
      </c>
      <c r="X9" s="29" t="s">
        <v>23</v>
      </c>
      <c r="Y9" s="29" t="s">
        <v>26</v>
      </c>
      <c r="Z9" s="29" t="s">
        <v>27</v>
      </c>
      <c r="AA9" s="29" t="s">
        <v>13</v>
      </c>
      <c r="AB9" s="29" t="s">
        <v>28</v>
      </c>
      <c r="AC9" s="29" t="s">
        <v>29</v>
      </c>
      <c r="AD9" s="29" t="s">
        <v>30</v>
      </c>
      <c r="AE9" s="29" t="s">
        <v>31</v>
      </c>
    </row>
    <row r="10" spans="1:31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2:31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2:31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2:31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2:31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2:31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2:31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2:31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2:31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2:31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2:31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2:31" x14ac:dyDescent="0.3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2:31" x14ac:dyDescent="0.3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2:31" x14ac:dyDescent="0.3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2:31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2:31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2:31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2:31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2:31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2:31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2:31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2:31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2:31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2:31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2:31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2:31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2:31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2:31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2:31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2:31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2:31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2:31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2:3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2:31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2:3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2:3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2:3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2:3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2:3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2:3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2:3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2:3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2:3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2:3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2:3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2:3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2:3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2:3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2:3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2:3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2:3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2:3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2:3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2:3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2:3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2:3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2:3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2:3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2:3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2:3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2:3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2:3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2:3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2:3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2:3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2:3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2:3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2:3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2:3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2:3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2:3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2:3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2:3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2:3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2:3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2:3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2:3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2:3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2:3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2:3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2:3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2:3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2:3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2:3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2:3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2:3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2:3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2:3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2:3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2:3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2:3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2:3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2:3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2:3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2:3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2:3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2:3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2:3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2:3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2:3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2:3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2:3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2:3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2:3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2:3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2:3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2:3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2:3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2:3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2:3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2:3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2:3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2:3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2:3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2:3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2:3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2:3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2:3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2:3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2:3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2:3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2:3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2:3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2:3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2:3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2:3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2:3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2:3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2:3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2:3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2:3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2:3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2:3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2:3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2:3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2:3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2:3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2:3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2:3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2:3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2:3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2:3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2:3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2:3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2:3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2:3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2:3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2:3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2:3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2:3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2:3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2:3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2:3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2:3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2:3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2:3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2:3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2:3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2:3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2:3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2:3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2:3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2:3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2:3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2:3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2:3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2:3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2:3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2:3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2:3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2:3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2:3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2:3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2:3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2:3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2:3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2:3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2:3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2:3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2:3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2:3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2:3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2:3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2:3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2:3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2:3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2:3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2:3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2:3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2:3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2:3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2:3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2:3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2:3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2:3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2:3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2:3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2:3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2:3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2:3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2:3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2:3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2:3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2:3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2:3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2:3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2:3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2:3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2:3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2:3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2:3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2:3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2:3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2:3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2:3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2:3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2:3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2:3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2:3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2:3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2:3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2:3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2:3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2:3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2:3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2:3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2:3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2:3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2:3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2:3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2:3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2:3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2:3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2:3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2:3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2:3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2:3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2:3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2:3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2:3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2:3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2:3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2:3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2:3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2:3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2:3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2:3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2:3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2:3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2:3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2:3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2:3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2:3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2:3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2:3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2:3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2:3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2:3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2:3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2:3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2:3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2:3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2:3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2:3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2:3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2:3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2:3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2:3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2:3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2:3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2:3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2:3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2:3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2:3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2:3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2:3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2:3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2:3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2:3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2:3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2:3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2:3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2:3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2:3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2:3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2:3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2:3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2:3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2:3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2:3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2:3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2:3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2:3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2:3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2:3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2:3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2:3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2:3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2:3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2:3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2:3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2:3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2:3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2:3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2:3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2:3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2:3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2:3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2:3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2:3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2:3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2:3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2:3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2:3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2:3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2:3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2:3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2:3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2:3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2:3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2:3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2:3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2:3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2:3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2:3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2:3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2:3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2:3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2:3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2:3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2:3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2:3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2:3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2:3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2:3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2:3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2:3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2:3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2:3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2:3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2:3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2:3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2:3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2:3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2:3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2:3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2:3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2:3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2:3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2:3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2:3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2:3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2:3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2:3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2:3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2:3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2:3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2:3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2:3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2:3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2:3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2:3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2:3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2:3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2:3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2:3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2:3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2:3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2:3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2:3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2:3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2:3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2:3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2:3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2:3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2:3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2:3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2:3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2:3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2:3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2:3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2:3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2:3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2:3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2:3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2:3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2:3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2:3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2:3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2:3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2:3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2:3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2:3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2:3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2:3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2:3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2:3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2:3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2:3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2:3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2:3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2:3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2:3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2:3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2:3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2:3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2:3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2:3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2:3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2:3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2:3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2:3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2:3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2:3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2:3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2:3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2:3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2:3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2:3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2:3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2:3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2:3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2:3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2:3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2:3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2:3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2:3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2:3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2:3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2:3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2:3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2:3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2:3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2:3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2:3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2:3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2:3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2:3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2:3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2:3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2:3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2:3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2:3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2:3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2:3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2:3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2:3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2:3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2:3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2:3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2:3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2:3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2:3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2:3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2:3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2:3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2:3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2:3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2:3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2:3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2:3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2:3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2:3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2:3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2:3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2:3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2:3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2:3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2:3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2:3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2:3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2:3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2:3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2:3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2:3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2:3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2:3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2:3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2:3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2:3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2:3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2:3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2:3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2:3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2:3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</sheetData>
  <sheetProtection algorithmName="SHA-512" hashValue="UkP4z1HW5P9sNvsohqr3dG5zqq80Xh5zrQKHMktv/eDs9Ad56qraqQdXBEC7zZlrp5I7sX+HY1FMoFm2Ho63uw==" saltValue="LDPn0ZQvaaoK4pTHeBqBBA==" spinCount="100000" sheet="1" objects="1" scenarios="1" formatCells="0" formatColumns="0"/>
  <mergeCells count="13">
    <mergeCell ref="M4:N4"/>
    <mergeCell ref="F4:G4"/>
    <mergeCell ref="H4:J4"/>
    <mergeCell ref="D6:D9"/>
    <mergeCell ref="B1:T1"/>
    <mergeCell ref="B2:T2"/>
    <mergeCell ref="B6:B9"/>
    <mergeCell ref="C6:C9"/>
    <mergeCell ref="E6:E9"/>
    <mergeCell ref="F6:AE6"/>
    <mergeCell ref="F7:AE7"/>
    <mergeCell ref="F8:S8"/>
    <mergeCell ref="T8:AE8"/>
  </mergeCells>
  <dataValidations count="4">
    <dataValidation type="textLength" operator="equal" allowBlank="1" showInputMessage="1" showErrorMessage="1" error="LA CCT NO CONTIENE 10 CARACTERES" sqref="C4" xr:uid="{0E66465C-EC8F-4BAA-BF48-2339B23F92D9}">
      <formula1>10</formula1>
    </dataValidation>
    <dataValidation type="whole" allowBlank="1" showInputMessage="1" showErrorMessage="1" error="0, 1, 2 o 3" prompt="0, 1, 2 o 3" sqref="F10:AE500" xr:uid="{11420C9E-17C9-49F7-8169-7DFEB7F409B8}">
      <formula1>0</formula1>
      <formula2>3</formula2>
    </dataValidation>
    <dataValidation allowBlank="1" showInputMessage="1" showErrorMessage="1" prompt="H o M" sqref="D10:D498" xr:uid="{BB9CCBC2-DAD1-40A5-823A-215CB1DCA979}"/>
    <dataValidation allowBlank="1" showInputMessage="1" showErrorMessage="1" prompt="A-Z" sqref="E10:E498" xr:uid="{034021D2-9F16-475B-BB35-AD81E4049C32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9715-8438-44B3-9889-24439DF78D04}">
  <dimension ref="A1:AE501"/>
  <sheetViews>
    <sheetView showGridLines="0" zoomScale="110" zoomScaleNormal="110" workbookViewId="0">
      <selection activeCell="A10" sqref="A10"/>
    </sheetView>
  </sheetViews>
  <sheetFormatPr baseColWidth="10" defaultRowHeight="18" x14ac:dyDescent="0.35"/>
  <cols>
    <col min="1" max="1" width="5" style="5" customWidth="1"/>
    <col min="2" max="2" width="9.140625" style="5" customWidth="1"/>
    <col min="3" max="3" width="39.7109375" style="5" customWidth="1"/>
    <col min="4" max="31" width="6.5703125" style="5" customWidth="1"/>
    <col min="32" max="16384" width="11.42578125" style="5"/>
  </cols>
  <sheetData>
    <row r="1" spans="1:31" x14ac:dyDescent="0.35">
      <c r="A1" s="17">
        <v>4</v>
      </c>
      <c r="B1" s="81" t="s">
        <v>39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31"/>
      <c r="V1" s="31"/>
      <c r="W1" s="31"/>
      <c r="X1" s="31"/>
      <c r="Y1" s="31"/>
      <c r="Z1" s="31"/>
      <c r="AA1" s="31"/>
      <c r="AB1" s="31"/>
      <c r="AC1" s="31"/>
      <c r="AD1" s="31"/>
      <c r="AE1" s="18"/>
    </row>
    <row r="2" spans="1:31" ht="18" customHeight="1" x14ac:dyDescent="0.35">
      <c r="A2" s="18"/>
      <c r="B2" s="82" t="s">
        <v>57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31"/>
      <c r="V2" s="31"/>
      <c r="W2" s="31"/>
      <c r="X2" s="31"/>
      <c r="Y2" s="31"/>
      <c r="Z2" s="31"/>
      <c r="AA2" s="31"/>
      <c r="AB2" s="31"/>
      <c r="AC2" s="31"/>
      <c r="AD2" s="31"/>
      <c r="AE2" s="18"/>
    </row>
    <row r="3" spans="1:31" ht="6.75" customHeight="1" x14ac:dyDescent="0.35">
      <c r="A3" s="18"/>
      <c r="B3" s="19"/>
      <c r="C3" s="19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/>
      <c r="AD3"/>
      <c r="AE3" s="18"/>
    </row>
    <row r="4" spans="1:31" ht="16.5" customHeight="1" x14ac:dyDescent="0.35">
      <c r="A4" s="18"/>
      <c r="B4" s="22" t="s">
        <v>0</v>
      </c>
      <c r="C4" s="23">
        <f>ESC!D9</f>
        <v>0</v>
      </c>
      <c r="D4" s="18"/>
      <c r="E4" s="24"/>
      <c r="F4" s="79" t="s">
        <v>1</v>
      </c>
      <c r="G4" s="79"/>
      <c r="H4" s="80">
        <f>ESC!D11</f>
        <v>0</v>
      </c>
      <c r="I4" s="80"/>
      <c r="J4" s="80"/>
      <c r="K4" s="25"/>
      <c r="L4" s="25"/>
      <c r="M4" s="79" t="s">
        <v>2</v>
      </c>
      <c r="N4" s="79"/>
      <c r="O4" s="26">
        <v>4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/>
      <c r="AC4"/>
      <c r="AD4" s="18"/>
      <c r="AE4" s="18"/>
    </row>
    <row r="5" spans="1:31" ht="6.75" customHeight="1" x14ac:dyDescent="0.35">
      <c r="A5" s="18"/>
      <c r="B5" s="18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spans="1:31" s="6" customFormat="1" ht="12.75" customHeight="1" x14ac:dyDescent="0.25">
      <c r="A6" s="24"/>
      <c r="B6" s="83" t="s">
        <v>3</v>
      </c>
      <c r="C6" s="89" t="s">
        <v>68</v>
      </c>
      <c r="D6" s="84" t="s">
        <v>67</v>
      </c>
      <c r="E6" s="84" t="s">
        <v>6</v>
      </c>
      <c r="F6" s="85" t="s">
        <v>4</v>
      </c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</row>
    <row r="7" spans="1:31" s="6" customFormat="1" ht="12.75" x14ac:dyDescent="0.25">
      <c r="A7" s="24"/>
      <c r="B7" s="83"/>
      <c r="C7" s="90"/>
      <c r="D7" s="83"/>
      <c r="E7" s="83"/>
      <c r="F7" s="94" t="s">
        <v>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</row>
    <row r="8" spans="1:31" s="6" customFormat="1" ht="12.75" x14ac:dyDescent="0.25">
      <c r="A8" s="24"/>
      <c r="B8" s="83"/>
      <c r="C8" s="90"/>
      <c r="D8" s="83"/>
      <c r="E8" s="83"/>
      <c r="F8" s="86" t="s">
        <v>15</v>
      </c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8"/>
      <c r="T8" s="95" t="s">
        <v>16</v>
      </c>
      <c r="U8" s="96"/>
      <c r="V8" s="96"/>
      <c r="W8" s="96"/>
      <c r="X8" s="96"/>
      <c r="Y8" s="96"/>
      <c r="Z8" s="96"/>
      <c r="AA8" s="96"/>
      <c r="AB8" s="96"/>
      <c r="AC8" s="96"/>
      <c r="AD8" s="96"/>
      <c r="AE8" s="97"/>
    </row>
    <row r="9" spans="1:31" s="6" customFormat="1" ht="77.25" customHeight="1" x14ac:dyDescent="0.25">
      <c r="A9" s="24"/>
      <c r="B9" s="83"/>
      <c r="C9" s="91"/>
      <c r="D9" s="83"/>
      <c r="E9" s="83"/>
      <c r="F9" s="29" t="s">
        <v>9</v>
      </c>
      <c r="G9" s="29" t="s">
        <v>17</v>
      </c>
      <c r="H9" s="29" t="s">
        <v>18</v>
      </c>
      <c r="I9" s="29" t="s">
        <v>19</v>
      </c>
      <c r="J9" s="29" t="s">
        <v>20</v>
      </c>
      <c r="K9" s="29" t="s">
        <v>10</v>
      </c>
      <c r="L9" s="29" t="s">
        <v>11</v>
      </c>
      <c r="M9" s="29" t="s">
        <v>21</v>
      </c>
      <c r="N9" s="29" t="s">
        <v>22</v>
      </c>
      <c r="O9" s="29" t="s">
        <v>12</v>
      </c>
      <c r="P9" s="29" t="s">
        <v>23</v>
      </c>
      <c r="Q9" s="29" t="s">
        <v>13</v>
      </c>
      <c r="R9" s="29" t="s">
        <v>24</v>
      </c>
      <c r="S9" s="29" t="s">
        <v>25</v>
      </c>
      <c r="T9" s="29" t="s">
        <v>9</v>
      </c>
      <c r="U9" s="29" t="s">
        <v>18</v>
      </c>
      <c r="V9" s="29" t="s">
        <v>10</v>
      </c>
      <c r="W9" s="29" t="s">
        <v>12</v>
      </c>
      <c r="X9" s="29" t="s">
        <v>23</v>
      </c>
      <c r="Y9" s="29" t="s">
        <v>26</v>
      </c>
      <c r="Z9" s="29" t="s">
        <v>27</v>
      </c>
      <c r="AA9" s="29" t="s">
        <v>13</v>
      </c>
      <c r="AB9" s="29" t="s">
        <v>28</v>
      </c>
      <c r="AC9" s="29" t="s">
        <v>29</v>
      </c>
      <c r="AD9" s="29" t="s">
        <v>30</v>
      </c>
      <c r="AE9" s="29" t="s">
        <v>31</v>
      </c>
    </row>
    <row r="10" spans="1:31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2:31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2:31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2:31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2:31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2:31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2:31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2:31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2:31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2:31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2:31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2:31" x14ac:dyDescent="0.3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2:31" x14ac:dyDescent="0.3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2:31" x14ac:dyDescent="0.3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2:31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2:31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2:31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2:31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2:31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2:31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2:31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2:31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2:31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2:31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2:31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2:31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2:31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2:31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2:31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2:31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2:31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2:31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2:3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2:31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2:3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2:3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2:3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2:3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2:3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2:3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2:3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2:3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2:3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2:3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2:3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2:3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2:3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2:3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2:3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2:3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2:3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2:3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2:3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2:3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2:3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2:3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2:3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2:3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2:3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2:3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2:3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2:3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2:3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2:3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2:3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2:3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2:3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2:3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2:3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2:3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2:3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2:3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2:3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2:3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2:3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2:3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2:3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2:3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2:3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2:3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2:3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2:3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2:3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2:3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2:3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2:3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2:3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2:3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2:3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2:3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2:3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2:3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2:3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2:3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2:3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2:3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2:3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2:3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2:3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2:3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2:3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2:3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2:3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2:3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2:3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2:3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2:3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2:3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2:3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2:3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2:3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2:3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2:3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2:3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2:3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2:3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2:3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2:3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2:3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2:3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2:3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2:3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2:3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2:3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2:3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2:3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2:3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2:3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2:3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2:3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2:3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2:3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2:3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2:3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2:3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2:3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2:3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2:3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2:3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2:3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2:3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2:3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2:3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2:3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2:3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2:3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2:3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2:3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2:3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2:3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2:3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2:3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2:3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2:3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2:3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2:3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2:3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2:3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2:3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2:3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2:3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2:3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2:3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2:3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2:3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2:3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2:3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2:3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2:3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2:3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2:3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2:3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2:3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2:3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2:3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2:3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2:3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2:3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2:3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2:3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2:3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2:3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2:3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2:3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2:3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2:3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2:3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2:3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2:3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2:3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2:3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2:3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2:3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2:3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2:3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2:3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2:3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2:3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2:3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2:3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2:3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2:3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2:3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2:3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2:3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2:3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2:3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2:3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2:3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2:3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2:3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2:3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2:3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2:3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2:3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2:3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2:3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2:3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2:3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2:3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2:3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2:3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2:3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2:3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2:3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2:3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2:3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2:3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2:3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2:3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2:3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2:3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2:3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2:3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2:3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2:3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2:3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2:3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2:3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2:3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2:3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2:3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2:3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2:3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2:3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2:3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2:3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2:3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2:3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2:3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2:3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2:3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2:3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2:3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2:3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2:3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2:3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2:3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2:3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2:3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2:3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2:3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2:3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2:3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2:3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2:3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2:3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2:3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2:3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2:3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2:3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2:3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2:3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2:3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2:3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2:3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2:3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2:3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2:3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2:3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2:3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2:3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2:3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2:3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2:3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2:3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2:3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2:3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2:3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2:3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2:3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2:3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2:3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2:3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2:3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2:3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2:3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2:3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2:3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2:3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2:3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2:3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2:3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2:3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2:3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2:3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2:3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2:3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2:3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2:3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2:3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2:3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2:3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2:3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2:3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2:3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2:3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2:3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2:3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2:3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2:3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2:3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2:3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2:3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2:3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2:3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2:3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2:3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2:3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2:3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2:3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2:3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2:3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2:3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2:3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2:3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2:3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2:3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2:3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2:3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2:3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2:3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2:3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2:3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2:3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2:3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2:3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2:3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2:3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2:3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2:3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2:3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2:3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2:3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2:3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2:3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2:3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2:3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2:3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2:3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2:3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2:3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2:3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2:3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2:3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2:3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2:3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2:3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2:3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2:3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2:3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2:3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2:3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2:3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2:3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2:3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2:3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2:3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2:3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2:3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2:3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2:3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2:3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2:3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2:3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2:3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2:3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2:3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2:3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2:3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2:3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2:3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2:3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2:3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2:3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2:3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2:3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2:3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2:3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2:3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2:3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2:3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2:3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2:3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2:3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2:3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2:3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2:3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2:3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2:3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2:3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2:3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2:3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2:3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2:3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2:3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2:3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2:3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2:3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2:3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2:3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2:3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2:3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2:3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2:3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2:3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2:3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2:3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2:3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2:3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2:3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2:3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2:3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2:3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2:3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2:3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2:3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2:3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2:3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2:3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2:3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2:3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2:3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2:3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2:3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2:3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2:3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2:3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2:3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2:3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2:3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2:3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2:3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2:3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2:3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2:3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2:3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2:3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2:3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2:3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2:3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2:3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2:3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2:3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2:3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2:3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2:3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2:3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2:3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2:3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2:3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2:3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2:3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2:3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2:3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2:3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2:3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2:3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2:3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2:3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2:3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3"/>
      <c r="AD496" s="3"/>
      <c r="AE496" s="3"/>
    </row>
    <row r="497" spans="2:3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3"/>
      <c r="AD497" s="3"/>
      <c r="AE497" s="3"/>
    </row>
    <row r="498" spans="2:3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3"/>
      <c r="AD498" s="3"/>
      <c r="AE498" s="3"/>
    </row>
    <row r="499" spans="2:3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3"/>
      <c r="AD499" s="3"/>
      <c r="AE499" s="3"/>
    </row>
    <row r="500" spans="2:3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3"/>
      <c r="AD500" s="3"/>
      <c r="AE500" s="3"/>
    </row>
    <row r="501" spans="2:3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3"/>
      <c r="AD501" s="3"/>
      <c r="AE501" s="3"/>
    </row>
  </sheetData>
  <sheetProtection algorithmName="SHA-512" hashValue="V64ofkoqOSdjPwO9O/40Wb/HRJ8W4NACva51yTUTz61U8gvxd5KtMe61/f2LuFDqFjydredVKZ9uFOY3oeA7uw==" saltValue="4ipLQUXKk7spkRB7cwsmRQ==" spinCount="100000" sheet="1" objects="1" scenarios="1" formatCells="0" formatColumns="0"/>
  <mergeCells count="13">
    <mergeCell ref="F8:S8"/>
    <mergeCell ref="T8:AE8"/>
    <mergeCell ref="M4:N4"/>
    <mergeCell ref="B1:T1"/>
    <mergeCell ref="B2:T2"/>
    <mergeCell ref="F4:G4"/>
    <mergeCell ref="H4:J4"/>
    <mergeCell ref="B6:B9"/>
    <mergeCell ref="C6:C9"/>
    <mergeCell ref="D6:D9"/>
    <mergeCell ref="E6:E9"/>
    <mergeCell ref="F6:AE6"/>
    <mergeCell ref="F7:AE7"/>
  </mergeCells>
  <dataValidations count="5">
    <dataValidation type="textLength" operator="equal" allowBlank="1" showInputMessage="1" showErrorMessage="1" error="LA CCT NO CONTIENE 10 CARACTERES" sqref="C4" xr:uid="{12B40BAA-C903-4435-82B7-D8279E1A7304}">
      <formula1>10</formula1>
    </dataValidation>
    <dataValidation type="whole" allowBlank="1" showInputMessage="1" showErrorMessage="1" sqref="F496:AE501" xr:uid="{3C7A21A7-285B-4173-B8CA-83247DF12161}">
      <formula1>0</formula1>
      <formula2>3</formula2>
    </dataValidation>
    <dataValidation type="whole" allowBlank="1" showInputMessage="1" showErrorMessage="1" error="0, 1, 2 o 3" prompt="0, 1, 2 o 3" sqref="F10:AE495" xr:uid="{893CE38D-0DCF-4EE4-8E6F-033915985694}">
      <formula1>0</formula1>
      <formula2>3</formula2>
    </dataValidation>
    <dataValidation allowBlank="1" showInputMessage="1" showErrorMessage="1" prompt="H o M" sqref="D10:D501" xr:uid="{2E9F470B-C6F3-4377-B9D8-E9AF7C2A73E5}"/>
    <dataValidation allowBlank="1" showInputMessage="1" showErrorMessage="1" prompt="A-Z" sqref="E10:E501" xr:uid="{3312AD31-9A9D-4FED-935C-72A85F47657C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977A-E293-438D-B449-37ED544CF99F}">
  <dimension ref="A1:AL500"/>
  <sheetViews>
    <sheetView showGridLines="0" zoomScale="110" zoomScaleNormal="110" workbookViewId="0">
      <selection activeCell="A10" sqref="A10"/>
    </sheetView>
  </sheetViews>
  <sheetFormatPr baseColWidth="10" defaultRowHeight="18" x14ac:dyDescent="0.35"/>
  <cols>
    <col min="1" max="1" width="6" style="5" customWidth="1"/>
    <col min="2" max="2" width="9.7109375" style="5" customWidth="1"/>
    <col min="3" max="3" width="41" style="5" customWidth="1"/>
    <col min="4" max="30" width="6.5703125" style="5" customWidth="1"/>
    <col min="31" max="16384" width="11.42578125" style="5"/>
  </cols>
  <sheetData>
    <row r="1" spans="1:38" x14ac:dyDescent="0.35">
      <c r="A1" s="17">
        <v>5</v>
      </c>
      <c r="B1" s="81" t="s">
        <v>39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31"/>
      <c r="V1" s="31"/>
      <c r="W1" s="31"/>
      <c r="X1" s="31"/>
      <c r="Y1" s="31"/>
      <c r="Z1" s="31"/>
      <c r="AA1" s="31"/>
      <c r="AB1" s="31"/>
      <c r="AC1" s="31"/>
      <c r="AD1" s="31"/>
      <c r="AK1" s="8"/>
      <c r="AL1" s="8"/>
    </row>
    <row r="2" spans="1:38" x14ac:dyDescent="0.35">
      <c r="A2" s="18"/>
      <c r="B2" s="82" t="s">
        <v>58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31"/>
      <c r="V2" s="31"/>
      <c r="W2" s="31"/>
      <c r="X2" s="31"/>
      <c r="Y2" s="31"/>
      <c r="Z2" s="31"/>
      <c r="AA2" s="31"/>
      <c r="AB2" s="31"/>
      <c r="AC2" s="31"/>
      <c r="AD2" s="31"/>
      <c r="AK2" s="8"/>
      <c r="AL2" s="8"/>
    </row>
    <row r="3" spans="1:38" ht="16.5" customHeight="1" x14ac:dyDescent="0.35">
      <c r="A3" s="18"/>
      <c r="B3" s="19"/>
      <c r="C3" s="19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/>
      <c r="AD3"/>
    </row>
    <row r="4" spans="1:38" ht="16.5" customHeight="1" x14ac:dyDescent="0.35">
      <c r="A4" s="18"/>
      <c r="B4" s="22" t="s">
        <v>0</v>
      </c>
      <c r="C4" s="23">
        <f>ESC!D9</f>
        <v>0</v>
      </c>
      <c r="D4" s="18"/>
      <c r="E4" s="24"/>
      <c r="F4" s="79" t="s">
        <v>1</v>
      </c>
      <c r="G4" s="79"/>
      <c r="H4" s="80">
        <f>ESC!D11</f>
        <v>0</v>
      </c>
      <c r="I4" s="80"/>
      <c r="J4" s="80"/>
      <c r="K4" s="25"/>
      <c r="L4" s="25"/>
      <c r="M4" s="79" t="s">
        <v>2</v>
      </c>
      <c r="N4" s="79"/>
      <c r="O4" s="26">
        <v>5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/>
      <c r="AC4"/>
      <c r="AD4" s="18"/>
    </row>
    <row r="5" spans="1:38" ht="6.75" customHeight="1" x14ac:dyDescent="0.35">
      <c r="A5" s="18"/>
      <c r="B5" s="18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8" s="6" customFormat="1" ht="12.75" customHeight="1" x14ac:dyDescent="0.25">
      <c r="A6" s="24"/>
      <c r="B6" s="83" t="s">
        <v>3</v>
      </c>
      <c r="C6" s="89" t="s">
        <v>68</v>
      </c>
      <c r="D6" s="84" t="s">
        <v>67</v>
      </c>
      <c r="E6" s="84" t="s">
        <v>6</v>
      </c>
      <c r="F6" s="85" t="s">
        <v>4</v>
      </c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</row>
    <row r="7" spans="1:38" s="6" customFormat="1" ht="12.75" x14ac:dyDescent="0.25">
      <c r="A7" s="24"/>
      <c r="B7" s="83"/>
      <c r="C7" s="90"/>
      <c r="D7" s="83"/>
      <c r="E7" s="83"/>
      <c r="F7" s="94" t="s">
        <v>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</row>
    <row r="8" spans="1:38" s="6" customFormat="1" ht="12.75" x14ac:dyDescent="0.25">
      <c r="A8" s="24"/>
      <c r="B8" s="83"/>
      <c r="C8" s="90"/>
      <c r="D8" s="83"/>
      <c r="E8" s="83"/>
      <c r="F8" s="86" t="s">
        <v>32</v>
      </c>
      <c r="G8" s="87"/>
      <c r="H8" s="87"/>
      <c r="I8" s="87"/>
      <c r="J8" s="87"/>
      <c r="K8" s="87"/>
      <c r="L8" s="87"/>
      <c r="M8" s="87"/>
      <c r="N8" s="87"/>
      <c r="O8" s="88"/>
      <c r="P8" s="86" t="s">
        <v>33</v>
      </c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8"/>
    </row>
    <row r="9" spans="1:38" s="6" customFormat="1" ht="68.25" customHeight="1" x14ac:dyDescent="0.25">
      <c r="A9" s="24"/>
      <c r="B9" s="83"/>
      <c r="C9" s="91"/>
      <c r="D9" s="83"/>
      <c r="E9" s="83"/>
      <c r="F9" s="29" t="s">
        <v>9</v>
      </c>
      <c r="G9" s="29" t="s">
        <v>18</v>
      </c>
      <c r="H9" s="29" t="s">
        <v>19</v>
      </c>
      <c r="I9" s="29" t="s">
        <v>10</v>
      </c>
      <c r="J9" s="29" t="s">
        <v>22</v>
      </c>
      <c r="K9" s="29" t="s">
        <v>34</v>
      </c>
      <c r="L9" s="29" t="s">
        <v>12</v>
      </c>
      <c r="M9" s="29" t="s">
        <v>23</v>
      </c>
      <c r="N9" s="29" t="s">
        <v>13</v>
      </c>
      <c r="O9" s="29" t="s">
        <v>28</v>
      </c>
      <c r="P9" s="29" t="s">
        <v>9</v>
      </c>
      <c r="Q9" s="29" t="s">
        <v>18</v>
      </c>
      <c r="R9" s="29" t="s">
        <v>35</v>
      </c>
      <c r="S9" s="29" t="s">
        <v>36</v>
      </c>
      <c r="T9" s="29" t="s">
        <v>37</v>
      </c>
      <c r="U9" s="29" t="s">
        <v>10</v>
      </c>
      <c r="V9" s="29" t="s">
        <v>22</v>
      </c>
      <c r="W9" s="29" t="s">
        <v>34</v>
      </c>
      <c r="X9" s="29" t="s">
        <v>38</v>
      </c>
      <c r="Y9" s="29" t="s">
        <v>12</v>
      </c>
      <c r="Z9" s="29" t="s">
        <v>14</v>
      </c>
      <c r="AA9" s="29" t="s">
        <v>23</v>
      </c>
      <c r="AB9" s="29" t="s">
        <v>26</v>
      </c>
      <c r="AC9" s="29" t="s">
        <v>13</v>
      </c>
      <c r="AD9" s="29" t="s">
        <v>28</v>
      </c>
    </row>
    <row r="10" spans="1:38" x14ac:dyDescent="0.35">
      <c r="B10" s="2"/>
      <c r="C10" s="2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8" x14ac:dyDescent="0.35">
      <c r="B11" s="2"/>
      <c r="C11" s="2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8" x14ac:dyDescent="0.35">
      <c r="B12" s="2"/>
      <c r="C12" s="2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8" x14ac:dyDescent="0.35">
      <c r="B13" s="2"/>
      <c r="C13" s="2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8" x14ac:dyDescent="0.35">
      <c r="B14" s="2"/>
      <c r="C14" s="2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8" x14ac:dyDescent="0.35">
      <c r="B15" s="2"/>
      <c r="C15" s="2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8" x14ac:dyDescent="0.35">
      <c r="B16" s="2"/>
      <c r="C16" s="2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2:30" x14ac:dyDescent="0.35">
      <c r="B17" s="2"/>
      <c r="C17" s="2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2:30" x14ac:dyDescent="0.35">
      <c r="B18" s="2"/>
      <c r="C18" s="2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2:30" x14ac:dyDescent="0.35">
      <c r="B19" s="2"/>
      <c r="C19" s="2"/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2:30" x14ac:dyDescent="0.35">
      <c r="B20" s="2"/>
      <c r="C20" s="2"/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2:30" x14ac:dyDescent="0.35">
      <c r="B21" s="2"/>
      <c r="C21" s="2"/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2:30" x14ac:dyDescent="0.35">
      <c r="B22" s="2"/>
      <c r="C22" s="2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2:30" x14ac:dyDescent="0.35">
      <c r="B23" s="2"/>
      <c r="C23" s="2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2:30" x14ac:dyDescent="0.35">
      <c r="B24" s="2"/>
      <c r="C24" s="2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2:30" x14ac:dyDescent="0.35">
      <c r="B25" s="2"/>
      <c r="C25" s="2"/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2:30" x14ac:dyDescent="0.35">
      <c r="B26" s="2"/>
      <c r="C26" s="2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2:30" x14ac:dyDescent="0.35">
      <c r="B27" s="2"/>
      <c r="C27" s="2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2:30" x14ac:dyDescent="0.35">
      <c r="B28" s="2"/>
      <c r="C28" s="2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2:30" x14ac:dyDescent="0.35">
      <c r="B29" s="2"/>
      <c r="C29" s="2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2:30" x14ac:dyDescent="0.35">
      <c r="B30" s="2"/>
      <c r="C30" s="2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2:30" x14ac:dyDescent="0.35"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2:30" x14ac:dyDescent="0.35">
      <c r="B32" s="2"/>
      <c r="C32" s="2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2:30" x14ac:dyDescent="0.35">
      <c r="B33" s="2"/>
      <c r="C33" s="2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2:30" x14ac:dyDescent="0.35">
      <c r="B34" s="2"/>
      <c r="C34" s="2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2:30" x14ac:dyDescent="0.35">
      <c r="B35" s="2"/>
      <c r="C35" s="2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2:30" x14ac:dyDescent="0.35">
      <c r="B36" s="2"/>
      <c r="C36" s="2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2:30" x14ac:dyDescent="0.35">
      <c r="B37" s="2"/>
      <c r="C37" s="2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2:30" x14ac:dyDescent="0.35">
      <c r="B38" s="2"/>
      <c r="C38" s="2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2:30" x14ac:dyDescent="0.35">
      <c r="B39" s="2"/>
      <c r="C39" s="2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2:30" x14ac:dyDescent="0.35">
      <c r="B40" s="2"/>
      <c r="C40" s="2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2:30" x14ac:dyDescent="0.35">
      <c r="B41" s="2"/>
      <c r="C41" s="2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2:30" x14ac:dyDescent="0.35">
      <c r="B42" s="2"/>
      <c r="C42" s="2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2:30" x14ac:dyDescent="0.35">
      <c r="B43" s="2"/>
      <c r="C43" s="2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2:30" x14ac:dyDescent="0.35">
      <c r="B44" s="2"/>
      <c r="C44" s="2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2:30" x14ac:dyDescent="0.35">
      <c r="B45" s="2"/>
      <c r="C45" s="2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2:30" x14ac:dyDescent="0.35">
      <c r="B46" s="2"/>
      <c r="C46" s="2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2:30" x14ac:dyDescent="0.35">
      <c r="B47" s="2"/>
      <c r="C47" s="2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2:30" x14ac:dyDescent="0.35">
      <c r="B48" s="2"/>
      <c r="C48" s="2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2:30" x14ac:dyDescent="0.35">
      <c r="B49" s="2"/>
      <c r="C49" s="2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2:30" x14ac:dyDescent="0.35">
      <c r="B50" s="2"/>
      <c r="C50" s="2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2:30" x14ac:dyDescent="0.35">
      <c r="B51" s="2"/>
      <c r="C51" s="2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2:30" x14ac:dyDescent="0.35">
      <c r="B52" s="2"/>
      <c r="C52" s="2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2:30" x14ac:dyDescent="0.35">
      <c r="B53" s="2"/>
      <c r="C53" s="2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2:30" x14ac:dyDescent="0.35"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2:30" x14ac:dyDescent="0.35">
      <c r="B55" s="2"/>
      <c r="C55" s="2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2:30" x14ac:dyDescent="0.35">
      <c r="B56" s="2"/>
      <c r="C56" s="2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2:30" x14ac:dyDescent="0.35">
      <c r="B57" s="2"/>
      <c r="C57" s="2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2:30" x14ac:dyDescent="0.35">
      <c r="B58" s="2"/>
      <c r="C58" s="2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2:30" x14ac:dyDescent="0.35">
      <c r="B59" s="2"/>
      <c r="C59" s="2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2:30" x14ac:dyDescent="0.35">
      <c r="B60" s="2"/>
      <c r="C60" s="2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2:30" x14ac:dyDescent="0.35"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2:30" x14ac:dyDescent="0.35">
      <c r="B62" s="2"/>
      <c r="C62" s="2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2:30" x14ac:dyDescent="0.35">
      <c r="B63" s="2"/>
      <c r="C63" s="2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2:30" x14ac:dyDescent="0.35">
      <c r="B64" s="2"/>
      <c r="C64" s="2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2:30" x14ac:dyDescent="0.35">
      <c r="B65" s="2"/>
      <c r="C65" s="2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2:30" x14ac:dyDescent="0.35">
      <c r="B66" s="2"/>
      <c r="C66" s="2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2:30" x14ac:dyDescent="0.35"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2:30" x14ac:dyDescent="0.35">
      <c r="B68" s="2"/>
      <c r="C68" s="2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2:30" x14ac:dyDescent="0.35"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2:30" x14ac:dyDescent="0.35">
      <c r="B70" s="2"/>
      <c r="C70" s="2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2:30" x14ac:dyDescent="0.35"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2:30" x14ac:dyDescent="0.35">
      <c r="B72" s="2"/>
      <c r="C72" s="2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2:30" x14ac:dyDescent="0.35">
      <c r="B73" s="2"/>
      <c r="C73" s="2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2:30" x14ac:dyDescent="0.35">
      <c r="B74" s="2"/>
      <c r="C74" s="2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2:30" x14ac:dyDescent="0.35">
      <c r="B75" s="2"/>
      <c r="C75" s="2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2:30" x14ac:dyDescent="0.35">
      <c r="B76" s="2"/>
      <c r="C76" s="2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2:30" x14ac:dyDescent="0.35">
      <c r="B77" s="2"/>
      <c r="C77" s="2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2:30" x14ac:dyDescent="0.35">
      <c r="B78" s="2"/>
      <c r="C78" s="2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2:30" x14ac:dyDescent="0.35">
      <c r="B79" s="2"/>
      <c r="C79" s="2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2:30" x14ac:dyDescent="0.35">
      <c r="B80" s="2"/>
      <c r="C80" s="2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2:30" x14ac:dyDescent="0.35">
      <c r="B81" s="2"/>
      <c r="C81" s="2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2:30" x14ac:dyDescent="0.35"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2:30" x14ac:dyDescent="0.35">
      <c r="B83" s="2"/>
      <c r="C83" s="2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2:30" x14ac:dyDescent="0.35"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2:30" x14ac:dyDescent="0.35">
      <c r="B85" s="2"/>
      <c r="C85" s="2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2:30" x14ac:dyDescent="0.35"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2:30" x14ac:dyDescent="0.35">
      <c r="B87" s="2"/>
      <c r="C87" s="2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2:30" x14ac:dyDescent="0.35"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2:30" x14ac:dyDescent="0.35">
      <c r="B89" s="2"/>
      <c r="C89" s="2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2:30" x14ac:dyDescent="0.35">
      <c r="B90" s="2"/>
      <c r="C90" s="2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2:30" x14ac:dyDescent="0.35">
      <c r="B91" s="2"/>
      <c r="C91" s="2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2:30" x14ac:dyDescent="0.35">
      <c r="B92" s="2"/>
      <c r="C92" s="2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2:30" x14ac:dyDescent="0.35">
      <c r="B93" s="2"/>
      <c r="C93" s="2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2:30" x14ac:dyDescent="0.35">
      <c r="B94" s="2"/>
      <c r="C94" s="2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2:30" x14ac:dyDescent="0.35"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2:30" x14ac:dyDescent="0.35">
      <c r="B96" s="2"/>
      <c r="C96" s="2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2:30" x14ac:dyDescent="0.35"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2:30" x14ac:dyDescent="0.35">
      <c r="B98" s="2"/>
      <c r="C98" s="2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2:30" x14ac:dyDescent="0.35">
      <c r="B99" s="2"/>
      <c r="C99" s="2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2:30" x14ac:dyDescent="0.35">
      <c r="B100" s="2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2:30" x14ac:dyDescent="0.35">
      <c r="B101" s="2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2:30" x14ac:dyDescent="0.35">
      <c r="B102" s="2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2:30" x14ac:dyDescent="0.35">
      <c r="B103" s="2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2:30" x14ac:dyDescent="0.35">
      <c r="B104" s="2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2:30" x14ac:dyDescent="0.35">
      <c r="B105" s="2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2:30" x14ac:dyDescent="0.35">
      <c r="B106" s="2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2:30" x14ac:dyDescent="0.35">
      <c r="B107" s="2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2:30" x14ac:dyDescent="0.35">
      <c r="B108" s="2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2:30" x14ac:dyDescent="0.35">
      <c r="B109" s="2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2:30" x14ac:dyDescent="0.35">
      <c r="B110" s="2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2:30" x14ac:dyDescent="0.35">
      <c r="B111" s="2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2:30" x14ac:dyDescent="0.35">
      <c r="B112" s="2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2:30" x14ac:dyDescent="0.35">
      <c r="B113" s="2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2:30" x14ac:dyDescent="0.35">
      <c r="B114" s="2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2:30" x14ac:dyDescent="0.35">
      <c r="B115" s="2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2:30" x14ac:dyDescent="0.35">
      <c r="B116" s="2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2:30" x14ac:dyDescent="0.35">
      <c r="B117" s="2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2:30" x14ac:dyDescent="0.35">
      <c r="B118" s="2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2:30" x14ac:dyDescent="0.35">
      <c r="B119" s="2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2:30" x14ac:dyDescent="0.35">
      <c r="B120" s="2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2:30" x14ac:dyDescent="0.35">
      <c r="B121" s="2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2:30" x14ac:dyDescent="0.35">
      <c r="B122" s="2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2:30" x14ac:dyDescent="0.35">
      <c r="B123" s="2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2:30" x14ac:dyDescent="0.35">
      <c r="B124" s="2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2:30" x14ac:dyDescent="0.35">
      <c r="B125" s="2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2:30" x14ac:dyDescent="0.35">
      <c r="B126" s="2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2:30" x14ac:dyDescent="0.35">
      <c r="B127" s="2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2:30" x14ac:dyDescent="0.35"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2:30" x14ac:dyDescent="0.35">
      <c r="B129" s="2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2:30" x14ac:dyDescent="0.35"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2:30" x14ac:dyDescent="0.35"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2:30" x14ac:dyDescent="0.35"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2:30" x14ac:dyDescent="0.35"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2:30" x14ac:dyDescent="0.35"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2:30" x14ac:dyDescent="0.35"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2:30" x14ac:dyDescent="0.35"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2:30" x14ac:dyDescent="0.35"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2:30" x14ac:dyDescent="0.35"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2:30" x14ac:dyDescent="0.35"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2:30" x14ac:dyDescent="0.35"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2:30" x14ac:dyDescent="0.35"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2:30" x14ac:dyDescent="0.35"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2:30" x14ac:dyDescent="0.35"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2:30" x14ac:dyDescent="0.35"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2:30" x14ac:dyDescent="0.35"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2:30" x14ac:dyDescent="0.35"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2:30" x14ac:dyDescent="0.35"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2:30" x14ac:dyDescent="0.35"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2:30" x14ac:dyDescent="0.35"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2:30" x14ac:dyDescent="0.35"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2:30" x14ac:dyDescent="0.35"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2:30" x14ac:dyDescent="0.35"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2:30" x14ac:dyDescent="0.35">
      <c r="B153" s="2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2:30" x14ac:dyDescent="0.35"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2:30" x14ac:dyDescent="0.35">
      <c r="B155" s="2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2:30" x14ac:dyDescent="0.35"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2:30" x14ac:dyDescent="0.35">
      <c r="B157" s="2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2:30" x14ac:dyDescent="0.35">
      <c r="B158" s="2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2:30" x14ac:dyDescent="0.35">
      <c r="B159" s="2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2:30" x14ac:dyDescent="0.35">
      <c r="B160" s="2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2:30" x14ac:dyDescent="0.35">
      <c r="B161" s="2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2:30" x14ac:dyDescent="0.35">
      <c r="B162" s="2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2:30" x14ac:dyDescent="0.35">
      <c r="B163" s="2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2:30" x14ac:dyDescent="0.35">
      <c r="B164" s="2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2:30" x14ac:dyDescent="0.35">
      <c r="B165" s="2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2:30" x14ac:dyDescent="0.35">
      <c r="B166" s="2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2:30" x14ac:dyDescent="0.35">
      <c r="B167" s="2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2:30" x14ac:dyDescent="0.35">
      <c r="B168" s="2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2:30" x14ac:dyDescent="0.35">
      <c r="B169" s="2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2:30" x14ac:dyDescent="0.35">
      <c r="B170" s="2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2:30" x14ac:dyDescent="0.35">
      <c r="B171" s="2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2:30" x14ac:dyDescent="0.35">
      <c r="B172" s="2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2:30" x14ac:dyDescent="0.35">
      <c r="B173" s="2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2:30" x14ac:dyDescent="0.35">
      <c r="B174" s="2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2:30" x14ac:dyDescent="0.35">
      <c r="B175" s="2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2:30" x14ac:dyDescent="0.35">
      <c r="B176" s="2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2:30" x14ac:dyDescent="0.35">
      <c r="B177" s="2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2:30" x14ac:dyDescent="0.35">
      <c r="B178" s="2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2:30" x14ac:dyDescent="0.35">
      <c r="B179" s="2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2:30" x14ac:dyDescent="0.35">
      <c r="B180" s="2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2:30" x14ac:dyDescent="0.35">
      <c r="B181" s="2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2:30" x14ac:dyDescent="0.35">
      <c r="B182" s="2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2:30" x14ac:dyDescent="0.35">
      <c r="B183" s="2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2:30" x14ac:dyDescent="0.35">
      <c r="B184" s="2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2:30" x14ac:dyDescent="0.35">
      <c r="B185" s="2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2:30" x14ac:dyDescent="0.35">
      <c r="B186" s="2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2:30" x14ac:dyDescent="0.35">
      <c r="B187" s="2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2:30" x14ac:dyDescent="0.35">
      <c r="B188" s="2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2:30" x14ac:dyDescent="0.35">
      <c r="B189" s="2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2:30" x14ac:dyDescent="0.35">
      <c r="B190" s="2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2:30" x14ac:dyDescent="0.35">
      <c r="B191" s="2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2:30" x14ac:dyDescent="0.35">
      <c r="B192" s="2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2:30" x14ac:dyDescent="0.35">
      <c r="B193" s="2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2:30" x14ac:dyDescent="0.35">
      <c r="B194" s="2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2:30" x14ac:dyDescent="0.35">
      <c r="B195" s="2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2:30" x14ac:dyDescent="0.35">
      <c r="B196" s="2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2:30" x14ac:dyDescent="0.35">
      <c r="B197" s="2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2:30" x14ac:dyDescent="0.35">
      <c r="B198" s="2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2:30" x14ac:dyDescent="0.35">
      <c r="B199" s="2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2:30" x14ac:dyDescent="0.35">
      <c r="B200" s="2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2:30" x14ac:dyDescent="0.35">
      <c r="B201" s="2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2:30" x14ac:dyDescent="0.35">
      <c r="B202" s="2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2:30" x14ac:dyDescent="0.35">
      <c r="B203" s="2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2:30" x14ac:dyDescent="0.35">
      <c r="B204" s="2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2:30" x14ac:dyDescent="0.35">
      <c r="B205" s="2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2:30" x14ac:dyDescent="0.35">
      <c r="B206" s="2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2:30" x14ac:dyDescent="0.35">
      <c r="B207" s="2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2:30" x14ac:dyDescent="0.35">
      <c r="B208" s="2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2:30" x14ac:dyDescent="0.35">
      <c r="B209" s="2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2:30" x14ac:dyDescent="0.35">
      <c r="B210" s="2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2:30" x14ac:dyDescent="0.35">
      <c r="B211" s="2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2:30" x14ac:dyDescent="0.35">
      <c r="B212" s="2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2:30" x14ac:dyDescent="0.35">
      <c r="B213" s="2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2:30" x14ac:dyDescent="0.35">
      <c r="B214" s="2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2:30" x14ac:dyDescent="0.35">
      <c r="B215" s="2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2:30" x14ac:dyDescent="0.35">
      <c r="B216" s="2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2:30" x14ac:dyDescent="0.35">
      <c r="B217" s="2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2:30" x14ac:dyDescent="0.35">
      <c r="B218" s="2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2:30" x14ac:dyDescent="0.35">
      <c r="B219" s="2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2:30" x14ac:dyDescent="0.35">
      <c r="B220" s="2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2:30" x14ac:dyDescent="0.35">
      <c r="B221" s="2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2:30" x14ac:dyDescent="0.35">
      <c r="B222" s="2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2:30" x14ac:dyDescent="0.35">
      <c r="B223" s="2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2:30" x14ac:dyDescent="0.35">
      <c r="B224" s="2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2:30" x14ac:dyDescent="0.35">
      <c r="B225" s="2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2:30" x14ac:dyDescent="0.35">
      <c r="B226" s="2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2:30" x14ac:dyDescent="0.35">
      <c r="B227" s="2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2:30" x14ac:dyDescent="0.35">
      <c r="B228" s="2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2:30" x14ac:dyDescent="0.35">
      <c r="B229" s="2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2:30" x14ac:dyDescent="0.35">
      <c r="B230" s="2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2:30" x14ac:dyDescent="0.35">
      <c r="B231" s="2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2:30" x14ac:dyDescent="0.35">
      <c r="B232" s="2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2:30" x14ac:dyDescent="0.35">
      <c r="B233" s="2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2:30" x14ac:dyDescent="0.35">
      <c r="B234" s="2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2:30" x14ac:dyDescent="0.35">
      <c r="B235" s="2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2:30" x14ac:dyDescent="0.35">
      <c r="B236" s="2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2:30" x14ac:dyDescent="0.35">
      <c r="B237" s="2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2:30" x14ac:dyDescent="0.35">
      <c r="B238" s="2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2:30" x14ac:dyDescent="0.35">
      <c r="B239" s="2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2:30" x14ac:dyDescent="0.35">
      <c r="B240" s="2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2:30" x14ac:dyDescent="0.35">
      <c r="B241" s="2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2:30" x14ac:dyDescent="0.35">
      <c r="B242" s="2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2:30" x14ac:dyDescent="0.35">
      <c r="B243" s="2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2:30" x14ac:dyDescent="0.35">
      <c r="B244" s="2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2:30" x14ac:dyDescent="0.35">
      <c r="B245" s="2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2:30" x14ac:dyDescent="0.35">
      <c r="B246" s="2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2:30" x14ac:dyDescent="0.35">
      <c r="B247" s="2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2:30" x14ac:dyDescent="0.35">
      <c r="B248" s="2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2:30" x14ac:dyDescent="0.35">
      <c r="B249" s="2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2:30" x14ac:dyDescent="0.35">
      <c r="B250" s="2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2:30" x14ac:dyDescent="0.35"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2:30" x14ac:dyDescent="0.35">
      <c r="B252" s="2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2:30" x14ac:dyDescent="0.35">
      <c r="B253" s="2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2:30" x14ac:dyDescent="0.35">
      <c r="B254" s="2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2:30" x14ac:dyDescent="0.35">
      <c r="B255" s="2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2:30" x14ac:dyDescent="0.35">
      <c r="B256" s="2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2:30" x14ac:dyDescent="0.35">
      <c r="B257" s="2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2:30" x14ac:dyDescent="0.35">
      <c r="B258" s="2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2:30" x14ac:dyDescent="0.35">
      <c r="B259" s="2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2:30" x14ac:dyDescent="0.35">
      <c r="B260" s="2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2:30" x14ac:dyDescent="0.35">
      <c r="B261" s="2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2:30" x14ac:dyDescent="0.35">
      <c r="B262" s="2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2:30" x14ac:dyDescent="0.35">
      <c r="B263" s="2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2:30" x14ac:dyDescent="0.35">
      <c r="B264" s="2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2:30" x14ac:dyDescent="0.35">
      <c r="B265" s="2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2:30" x14ac:dyDescent="0.35">
      <c r="B266" s="2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2:30" x14ac:dyDescent="0.35">
      <c r="B267" s="2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2:30" x14ac:dyDescent="0.35">
      <c r="B268" s="2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2:30" x14ac:dyDescent="0.35">
      <c r="B269" s="2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2:30" x14ac:dyDescent="0.35">
      <c r="B270" s="2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2:30" x14ac:dyDescent="0.35">
      <c r="B271" s="2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2:30" x14ac:dyDescent="0.35">
      <c r="B272" s="2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2:30" x14ac:dyDescent="0.35">
      <c r="B273" s="2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2:30" x14ac:dyDescent="0.35">
      <c r="B274" s="2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2:30" x14ac:dyDescent="0.35">
      <c r="B275" s="2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2:30" x14ac:dyDescent="0.35">
      <c r="B276" s="2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2:30" x14ac:dyDescent="0.35">
      <c r="B277" s="2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2:30" x14ac:dyDescent="0.35">
      <c r="B278" s="2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2:30" x14ac:dyDescent="0.35">
      <c r="B279" s="2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2:30" x14ac:dyDescent="0.35">
      <c r="B280" s="2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2:30" x14ac:dyDescent="0.35">
      <c r="B281" s="2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2:30" x14ac:dyDescent="0.35">
      <c r="B282" s="2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2:30" x14ac:dyDescent="0.35">
      <c r="B283" s="2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2:30" x14ac:dyDescent="0.35">
      <c r="B284" s="2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2:30" x14ac:dyDescent="0.35">
      <c r="B285" s="2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2:30" x14ac:dyDescent="0.35">
      <c r="B286" s="2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2:30" x14ac:dyDescent="0.35">
      <c r="B287" s="2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2:30" x14ac:dyDescent="0.35">
      <c r="B288" s="2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2:30" x14ac:dyDescent="0.35">
      <c r="B289" s="2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2:30" x14ac:dyDescent="0.35">
      <c r="B290" s="2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2:30" x14ac:dyDescent="0.35">
      <c r="B291" s="2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2:30" x14ac:dyDescent="0.35">
      <c r="B292" s="2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2:30" x14ac:dyDescent="0.35">
      <c r="B293" s="2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2:30" x14ac:dyDescent="0.35">
      <c r="B294" s="2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2:30" x14ac:dyDescent="0.35">
      <c r="B295" s="2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2:30" x14ac:dyDescent="0.35">
      <c r="B296" s="2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2:30" x14ac:dyDescent="0.35">
      <c r="B297" s="2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2:30" x14ac:dyDescent="0.35">
      <c r="B298" s="2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2:30" x14ac:dyDescent="0.35">
      <c r="B299" s="2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2:30" x14ac:dyDescent="0.35">
      <c r="B300" s="2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2:30" x14ac:dyDescent="0.35">
      <c r="B301" s="2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2:30" x14ac:dyDescent="0.35">
      <c r="B302" s="2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2:30" x14ac:dyDescent="0.35">
      <c r="B303" s="2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2:30" x14ac:dyDescent="0.35">
      <c r="B304" s="2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2:30" x14ac:dyDescent="0.35">
      <c r="B305" s="2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2:30" x14ac:dyDescent="0.35">
      <c r="B306" s="2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2:30" x14ac:dyDescent="0.35">
      <c r="B307" s="2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2:30" x14ac:dyDescent="0.35">
      <c r="B308" s="2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2:30" x14ac:dyDescent="0.35">
      <c r="B309" s="2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2:30" x14ac:dyDescent="0.35">
      <c r="B310" s="2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2:30" x14ac:dyDescent="0.35">
      <c r="B311" s="2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2:30" x14ac:dyDescent="0.35">
      <c r="B312" s="2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2:30" x14ac:dyDescent="0.35">
      <c r="B313" s="2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2:30" x14ac:dyDescent="0.35">
      <c r="B314" s="2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2:30" x14ac:dyDescent="0.35">
      <c r="B315" s="2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2:30" x14ac:dyDescent="0.35">
      <c r="B316" s="2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2:30" x14ac:dyDescent="0.35">
      <c r="B317" s="2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2:30" x14ac:dyDescent="0.35">
      <c r="B318" s="2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2:30" x14ac:dyDescent="0.35">
      <c r="B319" s="2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2:30" x14ac:dyDescent="0.35">
      <c r="B320" s="2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2:30" x14ac:dyDescent="0.35">
      <c r="B321" s="2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2:30" x14ac:dyDescent="0.35">
      <c r="B322" s="2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2:30" x14ac:dyDescent="0.35">
      <c r="B323" s="2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2:30" x14ac:dyDescent="0.35">
      <c r="B324" s="2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2:30" x14ac:dyDescent="0.35">
      <c r="B325" s="2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2:30" x14ac:dyDescent="0.35">
      <c r="B326" s="2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2:30" x14ac:dyDescent="0.35">
      <c r="B327" s="2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2:30" x14ac:dyDescent="0.35">
      <c r="B328" s="2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2:30" x14ac:dyDescent="0.35">
      <c r="B329" s="2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2:30" x14ac:dyDescent="0.35">
      <c r="B330" s="2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2:30" x14ac:dyDescent="0.35">
      <c r="B331" s="2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2:30" x14ac:dyDescent="0.35">
      <c r="B332" s="2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2:30" x14ac:dyDescent="0.35">
      <c r="B333" s="2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2:30" x14ac:dyDescent="0.35">
      <c r="B334" s="2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2:30" x14ac:dyDescent="0.35">
      <c r="B335" s="2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2:30" x14ac:dyDescent="0.35">
      <c r="B336" s="2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2:30" x14ac:dyDescent="0.35">
      <c r="B337" s="2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2:30" x14ac:dyDescent="0.35">
      <c r="B338" s="2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2:30" x14ac:dyDescent="0.35">
      <c r="B339" s="2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2:30" x14ac:dyDescent="0.35">
      <c r="B340" s="2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2:30" x14ac:dyDescent="0.35">
      <c r="B341" s="2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2:30" x14ac:dyDescent="0.35">
      <c r="B342" s="2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2:30" x14ac:dyDescent="0.35">
      <c r="B343" s="2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2:30" x14ac:dyDescent="0.35">
      <c r="B344" s="2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2:30" x14ac:dyDescent="0.35">
      <c r="B345" s="2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2:30" x14ac:dyDescent="0.35">
      <c r="B346" s="2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2:30" x14ac:dyDescent="0.35">
      <c r="B347" s="2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2:30" x14ac:dyDescent="0.35">
      <c r="B348" s="2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2:30" x14ac:dyDescent="0.35">
      <c r="B349" s="2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2:30" x14ac:dyDescent="0.35">
      <c r="B350" s="2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2:30" x14ac:dyDescent="0.35">
      <c r="B351" s="2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2:30" x14ac:dyDescent="0.35">
      <c r="B352" s="2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2:30" x14ac:dyDescent="0.35">
      <c r="B353" s="2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2:30" x14ac:dyDescent="0.35">
      <c r="B354" s="2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2:30" x14ac:dyDescent="0.35">
      <c r="B355" s="2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2:30" x14ac:dyDescent="0.35">
      <c r="B356" s="2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2:30" x14ac:dyDescent="0.35">
      <c r="B357" s="2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2:30" x14ac:dyDescent="0.35">
      <c r="B358" s="2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2:30" x14ac:dyDescent="0.35">
      <c r="B359" s="2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2:30" x14ac:dyDescent="0.35">
      <c r="B360" s="2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2:30" x14ac:dyDescent="0.35">
      <c r="B361" s="2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2:30" x14ac:dyDescent="0.35">
      <c r="B362" s="2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2:30" x14ac:dyDescent="0.35">
      <c r="B363" s="2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2:30" x14ac:dyDescent="0.35">
      <c r="B364" s="2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2:30" x14ac:dyDescent="0.35">
      <c r="B365" s="2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2:30" x14ac:dyDescent="0.35">
      <c r="B366" s="2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2:30" x14ac:dyDescent="0.35">
      <c r="B367" s="2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2:30" x14ac:dyDescent="0.35">
      <c r="B368" s="2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2:30" x14ac:dyDescent="0.35">
      <c r="B369" s="2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2:30" x14ac:dyDescent="0.35">
      <c r="B370" s="2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2:30" x14ac:dyDescent="0.35">
      <c r="B371" s="2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2:30" x14ac:dyDescent="0.35">
      <c r="B372" s="2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2:30" x14ac:dyDescent="0.35">
      <c r="B373" s="2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2:30" x14ac:dyDescent="0.35">
      <c r="B374" s="2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2:30" x14ac:dyDescent="0.35">
      <c r="B375" s="2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2:30" x14ac:dyDescent="0.35">
      <c r="B376" s="2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2:30" x14ac:dyDescent="0.35">
      <c r="B377" s="2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2:30" x14ac:dyDescent="0.35">
      <c r="B378" s="2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2:30" x14ac:dyDescent="0.35">
      <c r="B379" s="2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2:30" x14ac:dyDescent="0.35">
      <c r="B380" s="2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2:30" x14ac:dyDescent="0.35">
      <c r="B381" s="2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2:30" x14ac:dyDescent="0.35">
      <c r="B382" s="2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2:30" x14ac:dyDescent="0.35">
      <c r="B383" s="2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2:30" x14ac:dyDescent="0.35">
      <c r="B384" s="2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2:30" x14ac:dyDescent="0.35">
      <c r="B385" s="2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2:30" x14ac:dyDescent="0.35">
      <c r="B386" s="2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2:30" x14ac:dyDescent="0.35">
      <c r="B387" s="2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2:30" x14ac:dyDescent="0.35">
      <c r="B388" s="2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2:30" x14ac:dyDescent="0.35">
      <c r="B389" s="2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2:30" x14ac:dyDescent="0.35">
      <c r="B390" s="2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2:30" x14ac:dyDescent="0.35">
      <c r="B391" s="2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2:30" x14ac:dyDescent="0.35">
      <c r="B392" s="2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2:30" x14ac:dyDescent="0.35">
      <c r="B393" s="2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2:30" x14ac:dyDescent="0.35">
      <c r="B394" s="2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2:30" x14ac:dyDescent="0.35">
      <c r="B395" s="2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2:30" x14ac:dyDescent="0.35">
      <c r="B396" s="2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2:30" x14ac:dyDescent="0.35">
      <c r="B397" s="2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2:30" x14ac:dyDescent="0.35">
      <c r="B398" s="2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2:30" x14ac:dyDescent="0.35">
      <c r="B399" s="2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2:30" x14ac:dyDescent="0.35">
      <c r="B400" s="2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2:30" x14ac:dyDescent="0.35">
      <c r="B401" s="2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2:30" x14ac:dyDescent="0.35">
      <c r="B402" s="2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2:30" x14ac:dyDescent="0.35">
      <c r="B403" s="2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2:30" x14ac:dyDescent="0.35">
      <c r="B404" s="2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2:30" x14ac:dyDescent="0.35">
      <c r="B405" s="2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2:30" x14ac:dyDescent="0.35">
      <c r="B406" s="2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2:30" x14ac:dyDescent="0.35">
      <c r="B407" s="2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2:30" x14ac:dyDescent="0.35">
      <c r="B408" s="2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2:30" x14ac:dyDescent="0.35">
      <c r="B409" s="2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2:30" x14ac:dyDescent="0.35">
      <c r="B410" s="2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2:30" x14ac:dyDescent="0.35">
      <c r="B411" s="2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2:30" x14ac:dyDescent="0.35">
      <c r="B412" s="2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2:30" x14ac:dyDescent="0.35">
      <c r="B413" s="2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2:30" x14ac:dyDescent="0.35">
      <c r="B414" s="2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2:30" x14ac:dyDescent="0.35">
      <c r="B415" s="2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2:30" x14ac:dyDescent="0.35">
      <c r="B416" s="2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2:30" x14ac:dyDescent="0.35">
      <c r="B417" s="2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2:30" x14ac:dyDescent="0.35">
      <c r="B418" s="2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2:30" x14ac:dyDescent="0.35">
      <c r="B419" s="2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2:30" x14ac:dyDescent="0.35">
      <c r="B420" s="2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2:30" x14ac:dyDescent="0.35">
      <c r="B421" s="2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2:30" x14ac:dyDescent="0.35">
      <c r="B422" s="2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2:30" x14ac:dyDescent="0.35">
      <c r="B423" s="2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2:30" x14ac:dyDescent="0.35">
      <c r="B424" s="2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2:30" x14ac:dyDescent="0.35">
      <c r="B425" s="2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2:30" x14ac:dyDescent="0.35">
      <c r="B426" s="2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2:30" x14ac:dyDescent="0.35">
      <c r="B427" s="2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2:30" x14ac:dyDescent="0.35">
      <c r="B428" s="2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2:30" x14ac:dyDescent="0.35">
      <c r="B429" s="2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2:30" x14ac:dyDescent="0.35">
      <c r="B430" s="2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2:30" x14ac:dyDescent="0.35">
      <c r="B431" s="2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2:30" x14ac:dyDescent="0.35">
      <c r="B432" s="2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2:30" x14ac:dyDescent="0.35">
      <c r="B433" s="2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2:30" x14ac:dyDescent="0.35">
      <c r="B434" s="2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2:30" x14ac:dyDescent="0.35">
      <c r="B435" s="2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2:30" x14ac:dyDescent="0.35">
      <c r="B436" s="2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2:30" x14ac:dyDescent="0.35">
      <c r="B437" s="2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2:30" x14ac:dyDescent="0.35">
      <c r="B438" s="2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2:30" x14ac:dyDescent="0.35">
      <c r="B439" s="2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2:30" x14ac:dyDescent="0.35">
      <c r="B440" s="2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2:30" x14ac:dyDescent="0.35">
      <c r="B441" s="2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2:30" x14ac:dyDescent="0.35">
      <c r="B442" s="2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2:30" x14ac:dyDescent="0.35">
      <c r="B443" s="2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2:30" x14ac:dyDescent="0.35">
      <c r="B444" s="2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2:30" x14ac:dyDescent="0.35">
      <c r="B445" s="2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2:30" x14ac:dyDescent="0.35">
      <c r="B446" s="2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2:30" x14ac:dyDescent="0.35">
      <c r="B447" s="2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2:30" x14ac:dyDescent="0.35">
      <c r="B448" s="2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2:30" x14ac:dyDescent="0.35">
      <c r="B449" s="2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2:30" x14ac:dyDescent="0.35">
      <c r="B450" s="2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2:30" x14ac:dyDescent="0.35">
      <c r="B451" s="2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2:30" x14ac:dyDescent="0.35">
      <c r="B452" s="2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2:30" x14ac:dyDescent="0.35">
      <c r="B453" s="2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2:30" x14ac:dyDescent="0.35">
      <c r="B454" s="2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2:30" x14ac:dyDescent="0.35">
      <c r="B455" s="2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2:30" x14ac:dyDescent="0.35">
      <c r="B456" s="2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2:30" x14ac:dyDescent="0.35">
      <c r="B457" s="2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2:30" x14ac:dyDescent="0.35">
      <c r="B458" s="2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2:30" x14ac:dyDescent="0.35">
      <c r="B459" s="2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2:30" x14ac:dyDescent="0.35">
      <c r="B460" s="2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2:30" x14ac:dyDescent="0.35">
      <c r="B461" s="2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2:30" x14ac:dyDescent="0.35">
      <c r="B462" s="2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2:30" x14ac:dyDescent="0.35">
      <c r="B463" s="2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2:30" x14ac:dyDescent="0.35">
      <c r="B464" s="2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2:30" x14ac:dyDescent="0.35">
      <c r="B465" s="2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2:30" x14ac:dyDescent="0.35">
      <c r="B466" s="2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2:30" x14ac:dyDescent="0.35">
      <c r="B467" s="2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2:30" x14ac:dyDescent="0.35">
      <c r="B468" s="2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2:30" x14ac:dyDescent="0.35">
      <c r="B469" s="2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2:30" x14ac:dyDescent="0.35">
      <c r="B470" s="2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2:30" x14ac:dyDescent="0.35">
      <c r="B471" s="2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2:30" x14ac:dyDescent="0.35">
      <c r="B472" s="2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2:30" x14ac:dyDescent="0.35">
      <c r="B473" s="2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2:30" x14ac:dyDescent="0.35">
      <c r="B474" s="2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2:30" x14ac:dyDescent="0.35">
      <c r="B475" s="2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2:30" x14ac:dyDescent="0.35">
      <c r="B476" s="2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2:30" x14ac:dyDescent="0.35">
      <c r="B477" s="2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2:30" x14ac:dyDescent="0.35">
      <c r="B478" s="2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2:30" x14ac:dyDescent="0.35">
      <c r="B479" s="2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2:30" x14ac:dyDescent="0.35">
      <c r="B480" s="2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2:30" x14ac:dyDescent="0.35">
      <c r="B481" s="2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2:30" x14ac:dyDescent="0.35">
      <c r="B482" s="2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2:30" x14ac:dyDescent="0.35">
      <c r="B483" s="2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2:30" x14ac:dyDescent="0.35">
      <c r="B484" s="2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2:30" x14ac:dyDescent="0.35">
      <c r="B485" s="2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2:30" x14ac:dyDescent="0.35">
      <c r="B486" s="2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2:30" x14ac:dyDescent="0.35">
      <c r="B487" s="2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2:30" x14ac:dyDescent="0.35">
      <c r="B488" s="2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2:30" x14ac:dyDescent="0.35">
      <c r="B489" s="2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2:30" x14ac:dyDescent="0.35">
      <c r="B490" s="2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2:30" x14ac:dyDescent="0.35">
      <c r="B491" s="2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2:30" x14ac:dyDescent="0.35">
      <c r="B492" s="2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2:30" x14ac:dyDescent="0.35">
      <c r="B493" s="2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2:30" x14ac:dyDescent="0.35">
      <c r="B494" s="2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2:30" x14ac:dyDescent="0.35">
      <c r="B495" s="2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2:30" x14ac:dyDescent="0.35">
      <c r="B496" s="2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"/>
      <c r="AC496" s="3"/>
      <c r="AD496" s="3"/>
    </row>
    <row r="497" spans="2:30" x14ac:dyDescent="0.35">
      <c r="B497" s="2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"/>
      <c r="AC497" s="3"/>
      <c r="AD497" s="3"/>
    </row>
    <row r="498" spans="2:30" x14ac:dyDescent="0.35">
      <c r="B498" s="2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"/>
      <c r="AC498" s="3"/>
      <c r="AD498" s="3"/>
    </row>
    <row r="499" spans="2:30" x14ac:dyDescent="0.35">
      <c r="B499" s="2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"/>
      <c r="AC499" s="3"/>
      <c r="AD499" s="3"/>
    </row>
    <row r="500" spans="2:30" x14ac:dyDescent="0.35">
      <c r="B500" s="2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"/>
      <c r="AC500" s="3"/>
      <c r="AD500" s="3"/>
    </row>
  </sheetData>
  <sheetProtection algorithmName="SHA-512" hashValue="CuuYX4HMSXaSlYPKbhBprq/CXviaHma68OsHOJxi7ERu9waRrCe3Xzo1aMbkH4BC1tzJn5l4kzeZ09cKBjLNww==" saltValue="NmaFK12CVFHFHJngHGt+8g==" spinCount="100000" sheet="1" objects="1" scenarios="1" formatCells="0" formatColumns="0"/>
  <mergeCells count="13">
    <mergeCell ref="B6:B9"/>
    <mergeCell ref="C6:C9"/>
    <mergeCell ref="E6:E9"/>
    <mergeCell ref="F6:AD6"/>
    <mergeCell ref="F7:AD7"/>
    <mergeCell ref="F8:O8"/>
    <mergeCell ref="P8:AD8"/>
    <mergeCell ref="D6:D9"/>
    <mergeCell ref="B1:T1"/>
    <mergeCell ref="B2:T2"/>
    <mergeCell ref="F4:G4"/>
    <mergeCell ref="H4:J4"/>
    <mergeCell ref="M4:N4"/>
  </mergeCells>
  <dataValidations count="5">
    <dataValidation type="whole" allowBlank="1" showInputMessage="1" showErrorMessage="1" sqref="F496:AD605" xr:uid="{7290FD0A-F8D1-4995-B27F-3BE875F56B47}">
      <formula1>0</formula1>
      <formula2>3</formula2>
    </dataValidation>
    <dataValidation type="textLength" operator="equal" allowBlank="1" showInputMessage="1" showErrorMessage="1" error="LA CCT NO CONTIENE 10 CARACTERES" sqref="C4" xr:uid="{05A2F7D5-DB8F-4CFA-BF50-7A23F2DE0B8A}">
      <formula1>10</formula1>
    </dataValidation>
    <dataValidation type="whole" allowBlank="1" showInputMessage="1" showErrorMessage="1" error="0, 1, 2 o 3" prompt="0, 1, 2 o 3" sqref="F10:AD495" xr:uid="{CBF3EA9D-C69B-412D-BD28-678F7314408C}">
      <formula1>0</formula1>
      <formula2>3</formula2>
    </dataValidation>
    <dataValidation allowBlank="1" showInputMessage="1" showErrorMessage="1" prompt="H o M" sqref="D10:D500" xr:uid="{92CE22F0-B945-4DB5-8A24-EF7029331958}"/>
    <dataValidation allowBlank="1" showInputMessage="1" showErrorMessage="1" prompt="A-Z" sqref="E10:E500" xr:uid="{4746FF15-184F-4992-A3F8-01111006A0C3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A8EE-11A3-45AB-B769-770868E62857}">
  <dimension ref="A1:AL500"/>
  <sheetViews>
    <sheetView showGridLines="0" zoomScale="110" zoomScaleNormal="110" workbookViewId="0">
      <selection activeCell="A10" sqref="A10"/>
    </sheetView>
  </sheetViews>
  <sheetFormatPr baseColWidth="10" defaultRowHeight="18" x14ac:dyDescent="0.35"/>
  <cols>
    <col min="1" max="1" width="6" style="5" customWidth="1"/>
    <col min="2" max="2" width="9.7109375" style="5" customWidth="1"/>
    <col min="3" max="3" width="40.7109375" style="5" customWidth="1"/>
    <col min="4" max="30" width="6.5703125" style="5" customWidth="1"/>
    <col min="31" max="16384" width="11.42578125" style="5"/>
  </cols>
  <sheetData>
    <row r="1" spans="1:38" x14ac:dyDescent="0.35">
      <c r="A1" s="33">
        <v>5</v>
      </c>
      <c r="B1" s="81" t="s">
        <v>39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31"/>
      <c r="V1" s="31"/>
      <c r="W1" s="31"/>
      <c r="X1" s="31"/>
      <c r="Y1" s="31"/>
      <c r="Z1" s="31"/>
      <c r="AA1" s="31"/>
      <c r="AB1" s="31"/>
      <c r="AC1" s="31"/>
      <c r="AD1" s="31"/>
      <c r="AK1" s="8"/>
      <c r="AL1" s="8"/>
    </row>
    <row r="2" spans="1:38" x14ac:dyDescent="0.35">
      <c r="A2" s="18"/>
      <c r="B2" s="82" t="s">
        <v>59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31"/>
      <c r="V2" s="31"/>
      <c r="W2" s="31"/>
      <c r="X2" s="31"/>
      <c r="Y2" s="31"/>
      <c r="Z2" s="31"/>
      <c r="AA2" s="31"/>
      <c r="AB2" s="31"/>
      <c r="AC2" s="31"/>
      <c r="AD2" s="31"/>
      <c r="AK2" s="8"/>
      <c r="AL2" s="8"/>
    </row>
    <row r="3" spans="1:38" ht="16.5" customHeight="1" x14ac:dyDescent="0.35">
      <c r="A3" s="18"/>
      <c r="B3" s="19"/>
      <c r="C3" s="19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/>
      <c r="AD3"/>
    </row>
    <row r="4" spans="1:38" ht="16.5" customHeight="1" x14ac:dyDescent="0.35">
      <c r="A4" s="18"/>
      <c r="B4" s="22" t="s">
        <v>0</v>
      </c>
      <c r="C4" s="23">
        <f>ESC!D9</f>
        <v>0</v>
      </c>
      <c r="D4" s="18"/>
      <c r="E4" s="24"/>
      <c r="F4" s="79" t="s">
        <v>1</v>
      </c>
      <c r="G4" s="79"/>
      <c r="H4" s="80">
        <f>ESC!D11</f>
        <v>0</v>
      </c>
      <c r="I4" s="80"/>
      <c r="J4" s="80"/>
      <c r="K4" s="25"/>
      <c r="L4" s="25"/>
      <c r="M4" s="79" t="s">
        <v>2</v>
      </c>
      <c r="N4" s="79"/>
      <c r="O4" s="26">
        <v>6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/>
      <c r="AC4"/>
      <c r="AD4" s="18"/>
    </row>
    <row r="5" spans="1:38" ht="6.75" customHeight="1" x14ac:dyDescent="0.35">
      <c r="A5" s="18"/>
      <c r="B5" s="18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8" s="6" customFormat="1" ht="12.75" customHeight="1" x14ac:dyDescent="0.25">
      <c r="A6" s="24"/>
      <c r="B6" s="83" t="s">
        <v>3</v>
      </c>
      <c r="C6" s="89" t="s">
        <v>68</v>
      </c>
      <c r="D6" s="84" t="s">
        <v>67</v>
      </c>
      <c r="E6" s="84" t="s">
        <v>6</v>
      </c>
      <c r="F6" s="85" t="s">
        <v>4</v>
      </c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</row>
    <row r="7" spans="1:38" s="6" customFormat="1" ht="12.75" x14ac:dyDescent="0.25">
      <c r="A7" s="24"/>
      <c r="B7" s="83"/>
      <c r="C7" s="90"/>
      <c r="D7" s="83"/>
      <c r="E7" s="83"/>
      <c r="F7" s="94" t="s">
        <v>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</row>
    <row r="8" spans="1:38" s="6" customFormat="1" ht="12.75" x14ac:dyDescent="0.25">
      <c r="A8" s="24"/>
      <c r="B8" s="83"/>
      <c r="C8" s="90"/>
      <c r="D8" s="83"/>
      <c r="E8" s="83"/>
      <c r="F8" s="86" t="s">
        <v>32</v>
      </c>
      <c r="G8" s="87"/>
      <c r="H8" s="87"/>
      <c r="I8" s="87"/>
      <c r="J8" s="87"/>
      <c r="K8" s="87"/>
      <c r="L8" s="87"/>
      <c r="M8" s="87"/>
      <c r="N8" s="87"/>
      <c r="O8" s="88"/>
      <c r="P8" s="86" t="s">
        <v>33</v>
      </c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8"/>
    </row>
    <row r="9" spans="1:38" s="6" customFormat="1" ht="68.25" customHeight="1" x14ac:dyDescent="0.25">
      <c r="A9" s="24"/>
      <c r="B9" s="83"/>
      <c r="C9" s="91"/>
      <c r="D9" s="83"/>
      <c r="E9" s="83"/>
      <c r="F9" s="29" t="s">
        <v>9</v>
      </c>
      <c r="G9" s="29" t="s">
        <v>18</v>
      </c>
      <c r="H9" s="29" t="s">
        <v>19</v>
      </c>
      <c r="I9" s="29" t="s">
        <v>10</v>
      </c>
      <c r="J9" s="29" t="s">
        <v>22</v>
      </c>
      <c r="K9" s="29" t="s">
        <v>34</v>
      </c>
      <c r="L9" s="29" t="s">
        <v>12</v>
      </c>
      <c r="M9" s="29" t="s">
        <v>23</v>
      </c>
      <c r="N9" s="29" t="s">
        <v>13</v>
      </c>
      <c r="O9" s="29" t="s">
        <v>28</v>
      </c>
      <c r="P9" s="29" t="s">
        <v>9</v>
      </c>
      <c r="Q9" s="29" t="s">
        <v>18</v>
      </c>
      <c r="R9" s="29" t="s">
        <v>35</v>
      </c>
      <c r="S9" s="29" t="s">
        <v>36</v>
      </c>
      <c r="T9" s="29" t="s">
        <v>37</v>
      </c>
      <c r="U9" s="29" t="s">
        <v>10</v>
      </c>
      <c r="V9" s="29" t="s">
        <v>22</v>
      </c>
      <c r="W9" s="29" t="s">
        <v>34</v>
      </c>
      <c r="X9" s="29" t="s">
        <v>38</v>
      </c>
      <c r="Y9" s="29" t="s">
        <v>12</v>
      </c>
      <c r="Z9" s="29" t="s">
        <v>14</v>
      </c>
      <c r="AA9" s="29" t="s">
        <v>23</v>
      </c>
      <c r="AB9" s="29" t="s">
        <v>26</v>
      </c>
      <c r="AC9" s="29" t="s">
        <v>13</v>
      </c>
      <c r="AD9" s="29" t="s">
        <v>28</v>
      </c>
    </row>
    <row r="10" spans="1:38" x14ac:dyDescent="0.35">
      <c r="B10" s="2"/>
      <c r="C10" s="2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8" x14ac:dyDescent="0.35">
      <c r="B11" s="2"/>
      <c r="C11" s="2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8" x14ac:dyDescent="0.35">
      <c r="B12" s="2"/>
      <c r="C12" s="2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8" x14ac:dyDescent="0.35">
      <c r="B13" s="2"/>
      <c r="C13" s="2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8" x14ac:dyDescent="0.35">
      <c r="B14" s="2"/>
      <c r="C14" s="2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8" x14ac:dyDescent="0.35">
      <c r="B15" s="2"/>
      <c r="C15" s="2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8" x14ac:dyDescent="0.35">
      <c r="B16" s="2"/>
      <c r="C16" s="2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2:30" x14ac:dyDescent="0.35">
      <c r="B17" s="2"/>
      <c r="C17" s="2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2:30" x14ac:dyDescent="0.35">
      <c r="B18" s="2"/>
      <c r="C18" s="2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2:30" x14ac:dyDescent="0.35">
      <c r="B19" s="2"/>
      <c r="C19" s="2"/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2:30" x14ac:dyDescent="0.35">
      <c r="B20" s="2"/>
      <c r="C20" s="2"/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2:30" x14ac:dyDescent="0.35">
      <c r="B21" s="2"/>
      <c r="C21" s="2"/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2:30" x14ac:dyDescent="0.35">
      <c r="B22" s="2"/>
      <c r="C22" s="2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2:30" x14ac:dyDescent="0.35">
      <c r="B23" s="2"/>
      <c r="C23" s="2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2:30" x14ac:dyDescent="0.35">
      <c r="B24" s="2"/>
      <c r="C24" s="2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2:30" x14ac:dyDescent="0.35">
      <c r="B25" s="2"/>
      <c r="C25" s="2"/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2:30" x14ac:dyDescent="0.35">
      <c r="B26" s="2"/>
      <c r="C26" s="2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2:30" x14ac:dyDescent="0.35">
      <c r="B27" s="2"/>
      <c r="C27" s="2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2:30" x14ac:dyDescent="0.35">
      <c r="B28" s="2"/>
      <c r="C28" s="2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2:30" x14ac:dyDescent="0.35">
      <c r="B29" s="2"/>
      <c r="C29" s="2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2:30" x14ac:dyDescent="0.35">
      <c r="B30" s="2"/>
      <c r="C30" s="2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2:30" x14ac:dyDescent="0.35"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2:30" x14ac:dyDescent="0.35">
      <c r="B32" s="2"/>
      <c r="C32" s="2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2:30" x14ac:dyDescent="0.35">
      <c r="B33" s="2"/>
      <c r="C33" s="2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2:30" x14ac:dyDescent="0.35">
      <c r="B34" s="2"/>
      <c r="C34" s="2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2:30" x14ac:dyDescent="0.35">
      <c r="B35" s="2"/>
      <c r="C35" s="2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2:30" x14ac:dyDescent="0.35">
      <c r="B36" s="2"/>
      <c r="C36" s="2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2:30" x14ac:dyDescent="0.35">
      <c r="B37" s="2"/>
      <c r="C37" s="2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2:30" x14ac:dyDescent="0.35">
      <c r="B38" s="2"/>
      <c r="C38" s="2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2:30" x14ac:dyDescent="0.35">
      <c r="B39" s="2"/>
      <c r="C39" s="2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2:30" x14ac:dyDescent="0.35">
      <c r="B40" s="2"/>
      <c r="C40" s="2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2:30" x14ac:dyDescent="0.35">
      <c r="B41" s="2"/>
      <c r="C41" s="2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2:30" x14ac:dyDescent="0.35">
      <c r="B42" s="2"/>
      <c r="C42" s="2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2:30" x14ac:dyDescent="0.35">
      <c r="B43" s="2"/>
      <c r="C43" s="2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2:30" x14ac:dyDescent="0.35">
      <c r="B44" s="2"/>
      <c r="C44" s="2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2:30" x14ac:dyDescent="0.35">
      <c r="B45" s="2"/>
      <c r="C45" s="2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2:30" x14ac:dyDescent="0.35">
      <c r="B46" s="2"/>
      <c r="C46" s="2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2:30" x14ac:dyDescent="0.35">
      <c r="B47" s="2"/>
      <c r="C47" s="2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2:30" x14ac:dyDescent="0.35">
      <c r="B48" s="2"/>
      <c r="C48" s="2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2:30" x14ac:dyDescent="0.35">
      <c r="B49" s="2"/>
      <c r="C49" s="2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2:30" x14ac:dyDescent="0.35">
      <c r="B50" s="2"/>
      <c r="C50" s="2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2:30" x14ac:dyDescent="0.35">
      <c r="B51" s="2"/>
      <c r="C51" s="2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2:30" x14ac:dyDescent="0.35">
      <c r="B52" s="2"/>
      <c r="C52" s="2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2:30" x14ac:dyDescent="0.35">
      <c r="B53" s="2"/>
      <c r="C53" s="2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2:30" x14ac:dyDescent="0.35"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2:30" x14ac:dyDescent="0.35">
      <c r="B55" s="2"/>
      <c r="C55" s="2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2:30" x14ac:dyDescent="0.35">
      <c r="B56" s="2"/>
      <c r="C56" s="2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2:30" x14ac:dyDescent="0.35">
      <c r="B57" s="2"/>
      <c r="C57" s="2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2:30" x14ac:dyDescent="0.35">
      <c r="B58" s="2"/>
      <c r="C58" s="2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2:30" x14ac:dyDescent="0.35">
      <c r="B59" s="2"/>
      <c r="C59" s="2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2:30" x14ac:dyDescent="0.35">
      <c r="B60" s="2"/>
      <c r="C60" s="2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2:30" x14ac:dyDescent="0.35"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2:30" x14ac:dyDescent="0.35">
      <c r="B62" s="2"/>
      <c r="C62" s="2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2:30" x14ac:dyDescent="0.35">
      <c r="B63" s="2"/>
      <c r="C63" s="2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2:30" x14ac:dyDescent="0.35">
      <c r="B64" s="2"/>
      <c r="C64" s="2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2:30" x14ac:dyDescent="0.35">
      <c r="B65" s="2"/>
      <c r="C65" s="2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2:30" x14ac:dyDescent="0.35">
      <c r="B66" s="2"/>
      <c r="C66" s="2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2:30" x14ac:dyDescent="0.35"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2:30" x14ac:dyDescent="0.35">
      <c r="B68" s="2"/>
      <c r="C68" s="2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2:30" x14ac:dyDescent="0.35"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2:30" x14ac:dyDescent="0.35">
      <c r="B70" s="2"/>
      <c r="C70" s="2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2:30" x14ac:dyDescent="0.35"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2:30" x14ac:dyDescent="0.35">
      <c r="B72" s="2"/>
      <c r="C72" s="2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2:30" x14ac:dyDescent="0.35">
      <c r="B73" s="2"/>
      <c r="C73" s="2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2:30" x14ac:dyDescent="0.35">
      <c r="B74" s="2"/>
      <c r="C74" s="2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2:30" x14ac:dyDescent="0.35">
      <c r="B75" s="2"/>
      <c r="C75" s="2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2:30" x14ac:dyDescent="0.35">
      <c r="B76" s="2"/>
      <c r="C76" s="2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2:30" x14ac:dyDescent="0.35">
      <c r="B77" s="2"/>
      <c r="C77" s="2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2:30" x14ac:dyDescent="0.35">
      <c r="B78" s="2"/>
      <c r="C78" s="2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2:30" x14ac:dyDescent="0.35">
      <c r="B79" s="2"/>
      <c r="C79" s="2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2:30" x14ac:dyDescent="0.35">
      <c r="B80" s="2"/>
      <c r="C80" s="2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2:30" x14ac:dyDescent="0.35">
      <c r="B81" s="2"/>
      <c r="C81" s="2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2:30" x14ac:dyDescent="0.35"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2:30" x14ac:dyDescent="0.35">
      <c r="B83" s="2"/>
      <c r="C83" s="2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2:30" x14ac:dyDescent="0.35"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2:30" x14ac:dyDescent="0.35">
      <c r="B85" s="2"/>
      <c r="C85" s="2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2:30" x14ac:dyDescent="0.35"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2:30" x14ac:dyDescent="0.35">
      <c r="B87" s="2"/>
      <c r="C87" s="2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2:30" x14ac:dyDescent="0.35"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2:30" x14ac:dyDescent="0.35">
      <c r="B89" s="2"/>
      <c r="C89" s="2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2:30" x14ac:dyDescent="0.35">
      <c r="B90" s="2"/>
      <c r="C90" s="2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2:30" x14ac:dyDescent="0.35">
      <c r="B91" s="2"/>
      <c r="C91" s="2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2:30" x14ac:dyDescent="0.35">
      <c r="B92" s="2"/>
      <c r="C92" s="2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2:30" x14ac:dyDescent="0.35">
      <c r="B93" s="2"/>
      <c r="C93" s="2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2:30" x14ac:dyDescent="0.35">
      <c r="B94" s="2"/>
      <c r="C94" s="2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2:30" x14ac:dyDescent="0.35"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2:30" x14ac:dyDescent="0.35">
      <c r="B96" s="2"/>
      <c r="C96" s="2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2:30" x14ac:dyDescent="0.35"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2:30" x14ac:dyDescent="0.35">
      <c r="B98" s="2"/>
      <c r="C98" s="2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2:30" x14ac:dyDescent="0.35">
      <c r="B99" s="2"/>
      <c r="C99" s="2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2:30" x14ac:dyDescent="0.35">
      <c r="B100" s="2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2:30" x14ac:dyDescent="0.35">
      <c r="B101" s="2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2:30" x14ac:dyDescent="0.35">
      <c r="B102" s="2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2:30" x14ac:dyDescent="0.35">
      <c r="B103" s="2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2:30" x14ac:dyDescent="0.35">
      <c r="B104" s="2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2:30" x14ac:dyDescent="0.35">
      <c r="B105" s="2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2:30" x14ac:dyDescent="0.35">
      <c r="B106" s="2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2:30" x14ac:dyDescent="0.35">
      <c r="B107" s="2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2:30" x14ac:dyDescent="0.35">
      <c r="B108" s="2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2:30" x14ac:dyDescent="0.35">
      <c r="B109" s="2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2:30" x14ac:dyDescent="0.35">
      <c r="B110" s="2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2:30" x14ac:dyDescent="0.35">
      <c r="B111" s="2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2:30" x14ac:dyDescent="0.35">
      <c r="B112" s="2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2:30" x14ac:dyDescent="0.35">
      <c r="B113" s="2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2:30" x14ac:dyDescent="0.35">
      <c r="B114" s="2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2:30" x14ac:dyDescent="0.35">
      <c r="B115" s="2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2:30" x14ac:dyDescent="0.35">
      <c r="B116" s="2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2:30" x14ac:dyDescent="0.35">
      <c r="B117" s="2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2:30" x14ac:dyDescent="0.35">
      <c r="B118" s="2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2:30" x14ac:dyDescent="0.35">
      <c r="B119" s="2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2:30" x14ac:dyDescent="0.35">
      <c r="B120" s="2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2:30" x14ac:dyDescent="0.35">
      <c r="B121" s="2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2:30" x14ac:dyDescent="0.35">
      <c r="B122" s="2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2:30" x14ac:dyDescent="0.35">
      <c r="B123" s="2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2:30" x14ac:dyDescent="0.35">
      <c r="B124" s="2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2:30" x14ac:dyDescent="0.35">
      <c r="B125" s="2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2:30" x14ac:dyDescent="0.35">
      <c r="B126" s="2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2:30" x14ac:dyDescent="0.35">
      <c r="B127" s="2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2:30" x14ac:dyDescent="0.35"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2:30" x14ac:dyDescent="0.35">
      <c r="B129" s="2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2:30" x14ac:dyDescent="0.35"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2:30" x14ac:dyDescent="0.35"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2:30" x14ac:dyDescent="0.35"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2:30" x14ac:dyDescent="0.35"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2:30" x14ac:dyDescent="0.35"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2:30" x14ac:dyDescent="0.35"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2:30" x14ac:dyDescent="0.35"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2:30" x14ac:dyDescent="0.35"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2:30" x14ac:dyDescent="0.35"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2:30" x14ac:dyDescent="0.35"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2:30" x14ac:dyDescent="0.35"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2:30" x14ac:dyDescent="0.35"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2:30" x14ac:dyDescent="0.35"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2:30" x14ac:dyDescent="0.35"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2:30" x14ac:dyDescent="0.35"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2:30" x14ac:dyDescent="0.35"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2:30" x14ac:dyDescent="0.35"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2:30" x14ac:dyDescent="0.35"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2:30" x14ac:dyDescent="0.35"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2:30" x14ac:dyDescent="0.35"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2:30" x14ac:dyDescent="0.35"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2:30" x14ac:dyDescent="0.35"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2:30" x14ac:dyDescent="0.35"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2:30" x14ac:dyDescent="0.35">
      <c r="B153" s="2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2:30" x14ac:dyDescent="0.35"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2:30" x14ac:dyDescent="0.35">
      <c r="B155" s="2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2:30" x14ac:dyDescent="0.35"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2:30" x14ac:dyDescent="0.35">
      <c r="B157" s="2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2:30" x14ac:dyDescent="0.35">
      <c r="B158" s="2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2:30" x14ac:dyDescent="0.35">
      <c r="B159" s="2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2:30" x14ac:dyDescent="0.35">
      <c r="B160" s="2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2:30" x14ac:dyDescent="0.35">
      <c r="B161" s="2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2:30" x14ac:dyDescent="0.35">
      <c r="B162" s="2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2:30" x14ac:dyDescent="0.35">
      <c r="B163" s="2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2:30" x14ac:dyDescent="0.35">
      <c r="B164" s="2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2:30" x14ac:dyDescent="0.35">
      <c r="B165" s="2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2:30" x14ac:dyDescent="0.35">
      <c r="B166" s="2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2:30" x14ac:dyDescent="0.35">
      <c r="B167" s="2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2:30" x14ac:dyDescent="0.35">
      <c r="B168" s="2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2:30" x14ac:dyDescent="0.35">
      <c r="B169" s="2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2:30" x14ac:dyDescent="0.35">
      <c r="B170" s="2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2:30" x14ac:dyDescent="0.35">
      <c r="B171" s="2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2:30" x14ac:dyDescent="0.35">
      <c r="B172" s="2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2:30" x14ac:dyDescent="0.35">
      <c r="B173" s="2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2:30" x14ac:dyDescent="0.35">
      <c r="B174" s="2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2:30" x14ac:dyDescent="0.35">
      <c r="B175" s="2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2:30" x14ac:dyDescent="0.35">
      <c r="B176" s="2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2:30" x14ac:dyDescent="0.35">
      <c r="B177" s="2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2:30" x14ac:dyDescent="0.35">
      <c r="B178" s="2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2:30" x14ac:dyDescent="0.35">
      <c r="B179" s="2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2:30" x14ac:dyDescent="0.35">
      <c r="B180" s="2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2:30" x14ac:dyDescent="0.35">
      <c r="B181" s="2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2:30" x14ac:dyDescent="0.35">
      <c r="B182" s="2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2:30" x14ac:dyDescent="0.35">
      <c r="B183" s="2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2:30" x14ac:dyDescent="0.35">
      <c r="B184" s="2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2:30" x14ac:dyDescent="0.35">
      <c r="B185" s="2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2:30" x14ac:dyDescent="0.35">
      <c r="B186" s="2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2:30" x14ac:dyDescent="0.35">
      <c r="B187" s="2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2:30" x14ac:dyDescent="0.35">
      <c r="B188" s="2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2:30" x14ac:dyDescent="0.35">
      <c r="B189" s="2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2:30" x14ac:dyDescent="0.35">
      <c r="B190" s="2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2:30" x14ac:dyDescent="0.35">
      <c r="B191" s="2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2:30" x14ac:dyDescent="0.35">
      <c r="B192" s="2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2:30" x14ac:dyDescent="0.35">
      <c r="B193" s="2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2:30" x14ac:dyDescent="0.35">
      <c r="B194" s="2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2:30" x14ac:dyDescent="0.35">
      <c r="B195" s="2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2:30" x14ac:dyDescent="0.35">
      <c r="B196" s="2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2:30" x14ac:dyDescent="0.35">
      <c r="B197" s="2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2:30" x14ac:dyDescent="0.35">
      <c r="B198" s="2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2:30" x14ac:dyDescent="0.35">
      <c r="B199" s="2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2:30" x14ac:dyDescent="0.35">
      <c r="B200" s="2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2:30" x14ac:dyDescent="0.35">
      <c r="B201" s="2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2:30" x14ac:dyDescent="0.35">
      <c r="B202" s="2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2:30" x14ac:dyDescent="0.35">
      <c r="B203" s="2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2:30" x14ac:dyDescent="0.35">
      <c r="B204" s="2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2:30" x14ac:dyDescent="0.35">
      <c r="B205" s="2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2:30" x14ac:dyDescent="0.35">
      <c r="B206" s="2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2:30" x14ac:dyDescent="0.35">
      <c r="B207" s="2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2:30" x14ac:dyDescent="0.35">
      <c r="B208" s="2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2:30" x14ac:dyDescent="0.35">
      <c r="B209" s="2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2:30" x14ac:dyDescent="0.35">
      <c r="B210" s="2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2:30" x14ac:dyDescent="0.35">
      <c r="B211" s="2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2:30" x14ac:dyDescent="0.35">
      <c r="B212" s="2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2:30" x14ac:dyDescent="0.35">
      <c r="B213" s="2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2:30" x14ac:dyDescent="0.35">
      <c r="B214" s="2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2:30" x14ac:dyDescent="0.35">
      <c r="B215" s="2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2:30" x14ac:dyDescent="0.35">
      <c r="B216" s="2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2:30" x14ac:dyDescent="0.35">
      <c r="B217" s="2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2:30" x14ac:dyDescent="0.35">
      <c r="B218" s="2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2:30" x14ac:dyDescent="0.35">
      <c r="B219" s="2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2:30" x14ac:dyDescent="0.35">
      <c r="B220" s="2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2:30" x14ac:dyDescent="0.35">
      <c r="B221" s="2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2:30" x14ac:dyDescent="0.35">
      <c r="B222" s="2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2:30" x14ac:dyDescent="0.35">
      <c r="B223" s="2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2:30" x14ac:dyDescent="0.35">
      <c r="B224" s="2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2:30" x14ac:dyDescent="0.35">
      <c r="B225" s="2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2:30" x14ac:dyDescent="0.35">
      <c r="B226" s="2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2:30" x14ac:dyDescent="0.35">
      <c r="B227" s="2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2:30" x14ac:dyDescent="0.35">
      <c r="B228" s="2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2:30" x14ac:dyDescent="0.35">
      <c r="B229" s="2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2:30" x14ac:dyDescent="0.35">
      <c r="B230" s="2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2:30" x14ac:dyDescent="0.35">
      <c r="B231" s="2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2:30" x14ac:dyDescent="0.35">
      <c r="B232" s="2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2:30" x14ac:dyDescent="0.35">
      <c r="B233" s="2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2:30" x14ac:dyDescent="0.35">
      <c r="B234" s="2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2:30" x14ac:dyDescent="0.35">
      <c r="B235" s="2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2:30" x14ac:dyDescent="0.35">
      <c r="B236" s="2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2:30" x14ac:dyDescent="0.35">
      <c r="B237" s="2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2:30" x14ac:dyDescent="0.35">
      <c r="B238" s="2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2:30" x14ac:dyDescent="0.35">
      <c r="B239" s="2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2:30" x14ac:dyDescent="0.35">
      <c r="B240" s="2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2:30" x14ac:dyDescent="0.35">
      <c r="B241" s="2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2:30" x14ac:dyDescent="0.35">
      <c r="B242" s="2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2:30" x14ac:dyDescent="0.35">
      <c r="B243" s="2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2:30" x14ac:dyDescent="0.35">
      <c r="B244" s="2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2:30" x14ac:dyDescent="0.35">
      <c r="B245" s="2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2:30" x14ac:dyDescent="0.35">
      <c r="B246" s="2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2:30" x14ac:dyDescent="0.35">
      <c r="B247" s="2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2:30" x14ac:dyDescent="0.35">
      <c r="B248" s="2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2:30" x14ac:dyDescent="0.35">
      <c r="B249" s="2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2:30" x14ac:dyDescent="0.35">
      <c r="B250" s="2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2:30" x14ac:dyDescent="0.35"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2:30" x14ac:dyDescent="0.35">
      <c r="B252" s="2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2:30" x14ac:dyDescent="0.35">
      <c r="B253" s="2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2:30" x14ac:dyDescent="0.35">
      <c r="B254" s="2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2:30" x14ac:dyDescent="0.35">
      <c r="B255" s="2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2:30" x14ac:dyDescent="0.35">
      <c r="B256" s="2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2:30" x14ac:dyDescent="0.35">
      <c r="B257" s="2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2:30" x14ac:dyDescent="0.35">
      <c r="B258" s="2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2:30" x14ac:dyDescent="0.35">
      <c r="B259" s="2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2:30" x14ac:dyDescent="0.35">
      <c r="B260" s="2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2:30" x14ac:dyDescent="0.35">
      <c r="B261" s="2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2:30" x14ac:dyDescent="0.35">
      <c r="B262" s="2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2:30" x14ac:dyDescent="0.35">
      <c r="B263" s="2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2:30" x14ac:dyDescent="0.35">
      <c r="B264" s="2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2:30" x14ac:dyDescent="0.35">
      <c r="B265" s="2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2:30" x14ac:dyDescent="0.35">
      <c r="B266" s="2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2:30" x14ac:dyDescent="0.35">
      <c r="B267" s="2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2:30" x14ac:dyDescent="0.35">
      <c r="B268" s="2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2:30" x14ac:dyDescent="0.35">
      <c r="B269" s="2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2:30" x14ac:dyDescent="0.35">
      <c r="B270" s="2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2:30" x14ac:dyDescent="0.35">
      <c r="B271" s="2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2:30" x14ac:dyDescent="0.35">
      <c r="B272" s="2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2:30" x14ac:dyDescent="0.35">
      <c r="B273" s="2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2:30" x14ac:dyDescent="0.35">
      <c r="B274" s="2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2:30" x14ac:dyDescent="0.35">
      <c r="B275" s="2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2:30" x14ac:dyDescent="0.35">
      <c r="B276" s="2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2:30" x14ac:dyDescent="0.35">
      <c r="B277" s="2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2:30" x14ac:dyDescent="0.35">
      <c r="B278" s="2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2:30" x14ac:dyDescent="0.35">
      <c r="B279" s="2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2:30" x14ac:dyDescent="0.35">
      <c r="B280" s="2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2:30" x14ac:dyDescent="0.35">
      <c r="B281" s="2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2:30" x14ac:dyDescent="0.35">
      <c r="B282" s="2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2:30" x14ac:dyDescent="0.35">
      <c r="B283" s="2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2:30" x14ac:dyDescent="0.35">
      <c r="B284" s="2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2:30" x14ac:dyDescent="0.35">
      <c r="B285" s="2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2:30" x14ac:dyDescent="0.35">
      <c r="B286" s="2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2:30" x14ac:dyDescent="0.35">
      <c r="B287" s="2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2:30" x14ac:dyDescent="0.35">
      <c r="B288" s="2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2:30" x14ac:dyDescent="0.35">
      <c r="B289" s="2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2:30" x14ac:dyDescent="0.35">
      <c r="B290" s="2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2:30" x14ac:dyDescent="0.35">
      <c r="B291" s="2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2:30" x14ac:dyDescent="0.35">
      <c r="B292" s="2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2:30" x14ac:dyDescent="0.35">
      <c r="B293" s="2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2:30" x14ac:dyDescent="0.35">
      <c r="B294" s="2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2:30" x14ac:dyDescent="0.35">
      <c r="B295" s="2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2:30" x14ac:dyDescent="0.35">
      <c r="B296" s="2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2:30" x14ac:dyDescent="0.35">
      <c r="B297" s="2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2:30" x14ac:dyDescent="0.35">
      <c r="B298" s="2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2:30" x14ac:dyDescent="0.35">
      <c r="B299" s="2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2:30" x14ac:dyDescent="0.35">
      <c r="B300" s="2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2:30" x14ac:dyDescent="0.35">
      <c r="B301" s="2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2:30" x14ac:dyDescent="0.35">
      <c r="B302" s="2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2:30" x14ac:dyDescent="0.35">
      <c r="B303" s="2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2:30" x14ac:dyDescent="0.35">
      <c r="B304" s="2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2:30" x14ac:dyDescent="0.35">
      <c r="B305" s="2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2:30" x14ac:dyDescent="0.35">
      <c r="B306" s="2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2:30" x14ac:dyDescent="0.35">
      <c r="B307" s="2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2:30" x14ac:dyDescent="0.35">
      <c r="B308" s="2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2:30" x14ac:dyDescent="0.35">
      <c r="B309" s="2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2:30" x14ac:dyDescent="0.35">
      <c r="B310" s="2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2:30" x14ac:dyDescent="0.35">
      <c r="B311" s="2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2:30" x14ac:dyDescent="0.35">
      <c r="B312" s="2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2:30" x14ac:dyDescent="0.35">
      <c r="B313" s="2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2:30" x14ac:dyDescent="0.35">
      <c r="B314" s="2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2:30" x14ac:dyDescent="0.35">
      <c r="B315" s="2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2:30" x14ac:dyDescent="0.35">
      <c r="B316" s="2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2:30" x14ac:dyDescent="0.35">
      <c r="B317" s="2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2:30" x14ac:dyDescent="0.35">
      <c r="B318" s="2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2:30" x14ac:dyDescent="0.35">
      <c r="B319" s="2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2:30" x14ac:dyDescent="0.35">
      <c r="B320" s="2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2:30" x14ac:dyDescent="0.35">
      <c r="B321" s="2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2:30" x14ac:dyDescent="0.35">
      <c r="B322" s="2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2:30" x14ac:dyDescent="0.35">
      <c r="B323" s="2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2:30" x14ac:dyDescent="0.35">
      <c r="B324" s="2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2:30" x14ac:dyDescent="0.35">
      <c r="B325" s="2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2:30" x14ac:dyDescent="0.35">
      <c r="B326" s="2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2:30" x14ac:dyDescent="0.35">
      <c r="B327" s="2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2:30" x14ac:dyDescent="0.35">
      <c r="B328" s="2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2:30" x14ac:dyDescent="0.35">
      <c r="B329" s="2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2:30" x14ac:dyDescent="0.35">
      <c r="B330" s="2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2:30" x14ac:dyDescent="0.35">
      <c r="B331" s="2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2:30" x14ac:dyDescent="0.35">
      <c r="B332" s="2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2:30" x14ac:dyDescent="0.35">
      <c r="B333" s="2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2:30" x14ac:dyDescent="0.35">
      <c r="B334" s="2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2:30" x14ac:dyDescent="0.35">
      <c r="B335" s="2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2:30" x14ac:dyDescent="0.35">
      <c r="B336" s="2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2:30" x14ac:dyDescent="0.35">
      <c r="B337" s="2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2:30" x14ac:dyDescent="0.35">
      <c r="B338" s="2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2:30" x14ac:dyDescent="0.35">
      <c r="B339" s="2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2:30" x14ac:dyDescent="0.35">
      <c r="B340" s="2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2:30" x14ac:dyDescent="0.35">
      <c r="B341" s="2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2:30" x14ac:dyDescent="0.35">
      <c r="B342" s="2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2:30" x14ac:dyDescent="0.35">
      <c r="B343" s="2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2:30" x14ac:dyDescent="0.35">
      <c r="B344" s="2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2:30" x14ac:dyDescent="0.35">
      <c r="B345" s="2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2:30" x14ac:dyDescent="0.35">
      <c r="B346" s="2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2:30" x14ac:dyDescent="0.35">
      <c r="B347" s="2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2:30" x14ac:dyDescent="0.35">
      <c r="B348" s="2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2:30" x14ac:dyDescent="0.35">
      <c r="B349" s="2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2:30" x14ac:dyDescent="0.35">
      <c r="B350" s="2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2:30" x14ac:dyDescent="0.35">
      <c r="B351" s="2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2:30" x14ac:dyDescent="0.35">
      <c r="B352" s="2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2:30" x14ac:dyDescent="0.35">
      <c r="B353" s="2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2:30" x14ac:dyDescent="0.35">
      <c r="B354" s="2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2:30" x14ac:dyDescent="0.35">
      <c r="B355" s="2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2:30" x14ac:dyDescent="0.35">
      <c r="B356" s="2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2:30" x14ac:dyDescent="0.35">
      <c r="B357" s="2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2:30" x14ac:dyDescent="0.35">
      <c r="B358" s="2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2:30" x14ac:dyDescent="0.35">
      <c r="B359" s="2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2:30" x14ac:dyDescent="0.35">
      <c r="B360" s="2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2:30" x14ac:dyDescent="0.35">
      <c r="B361" s="2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2:30" x14ac:dyDescent="0.35">
      <c r="B362" s="2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2:30" x14ac:dyDescent="0.35">
      <c r="B363" s="2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2:30" x14ac:dyDescent="0.35">
      <c r="B364" s="2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2:30" x14ac:dyDescent="0.35">
      <c r="B365" s="2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2:30" x14ac:dyDescent="0.35">
      <c r="B366" s="2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2:30" x14ac:dyDescent="0.35">
      <c r="B367" s="2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2:30" x14ac:dyDescent="0.35">
      <c r="B368" s="2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2:30" x14ac:dyDescent="0.35">
      <c r="B369" s="2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2:30" x14ac:dyDescent="0.35">
      <c r="B370" s="2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2:30" x14ac:dyDescent="0.35">
      <c r="B371" s="2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2:30" x14ac:dyDescent="0.35">
      <c r="B372" s="2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2:30" x14ac:dyDescent="0.35">
      <c r="B373" s="2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2:30" x14ac:dyDescent="0.35">
      <c r="B374" s="2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2:30" x14ac:dyDescent="0.35">
      <c r="B375" s="2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2:30" x14ac:dyDescent="0.35">
      <c r="B376" s="2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2:30" x14ac:dyDescent="0.35">
      <c r="B377" s="2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2:30" x14ac:dyDescent="0.35">
      <c r="B378" s="2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2:30" x14ac:dyDescent="0.35">
      <c r="B379" s="2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2:30" x14ac:dyDescent="0.35">
      <c r="B380" s="2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2:30" x14ac:dyDescent="0.35">
      <c r="B381" s="2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2:30" x14ac:dyDescent="0.35">
      <c r="B382" s="2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2:30" x14ac:dyDescent="0.35">
      <c r="B383" s="2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2:30" x14ac:dyDescent="0.35">
      <c r="B384" s="2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2:30" x14ac:dyDescent="0.35">
      <c r="B385" s="2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2:30" x14ac:dyDescent="0.35">
      <c r="B386" s="2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2:30" x14ac:dyDescent="0.35">
      <c r="B387" s="2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2:30" x14ac:dyDescent="0.35">
      <c r="B388" s="2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2:30" x14ac:dyDescent="0.35">
      <c r="B389" s="2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2:30" x14ac:dyDescent="0.35">
      <c r="B390" s="2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2:30" x14ac:dyDescent="0.35">
      <c r="B391" s="2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2:30" x14ac:dyDescent="0.35">
      <c r="B392" s="2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2:30" x14ac:dyDescent="0.35">
      <c r="B393" s="2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2:30" x14ac:dyDescent="0.35">
      <c r="B394" s="2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2:30" x14ac:dyDescent="0.35">
      <c r="B395" s="2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2:30" x14ac:dyDescent="0.35">
      <c r="B396" s="2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2:30" x14ac:dyDescent="0.35">
      <c r="B397" s="2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2:30" x14ac:dyDescent="0.35">
      <c r="B398" s="2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2:30" x14ac:dyDescent="0.35">
      <c r="B399" s="2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2:30" x14ac:dyDescent="0.35">
      <c r="B400" s="2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2:30" x14ac:dyDescent="0.35">
      <c r="B401" s="2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2:30" x14ac:dyDescent="0.35">
      <c r="B402" s="2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2:30" x14ac:dyDescent="0.35">
      <c r="B403" s="2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2:30" x14ac:dyDescent="0.35">
      <c r="B404" s="2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2:30" x14ac:dyDescent="0.35">
      <c r="B405" s="2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2:30" x14ac:dyDescent="0.35">
      <c r="B406" s="2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2:30" x14ac:dyDescent="0.35">
      <c r="B407" s="2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2:30" x14ac:dyDescent="0.35">
      <c r="B408" s="2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2:30" x14ac:dyDescent="0.35">
      <c r="B409" s="2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2:30" x14ac:dyDescent="0.35">
      <c r="B410" s="2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2:30" x14ac:dyDescent="0.35">
      <c r="B411" s="2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2:30" x14ac:dyDescent="0.35">
      <c r="B412" s="2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2:30" x14ac:dyDescent="0.35">
      <c r="B413" s="2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2:30" x14ac:dyDescent="0.35">
      <c r="B414" s="2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2:30" x14ac:dyDescent="0.35">
      <c r="B415" s="2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2:30" x14ac:dyDescent="0.35">
      <c r="B416" s="2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2:30" x14ac:dyDescent="0.35">
      <c r="B417" s="2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2:30" x14ac:dyDescent="0.35">
      <c r="B418" s="2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2:30" x14ac:dyDescent="0.35">
      <c r="B419" s="2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2:30" x14ac:dyDescent="0.35">
      <c r="B420" s="2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2:30" x14ac:dyDescent="0.35">
      <c r="B421" s="2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2:30" x14ac:dyDescent="0.35">
      <c r="B422" s="2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2:30" x14ac:dyDescent="0.35">
      <c r="B423" s="2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2:30" x14ac:dyDescent="0.35">
      <c r="B424" s="2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2:30" x14ac:dyDescent="0.35">
      <c r="B425" s="2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2:30" x14ac:dyDescent="0.35">
      <c r="B426" s="2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2:30" x14ac:dyDescent="0.35">
      <c r="B427" s="2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2:30" x14ac:dyDescent="0.35">
      <c r="B428" s="2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2:30" x14ac:dyDescent="0.35">
      <c r="B429" s="2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2:30" x14ac:dyDescent="0.35">
      <c r="B430" s="2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2:30" x14ac:dyDescent="0.35">
      <c r="B431" s="2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2:30" x14ac:dyDescent="0.35">
      <c r="B432" s="2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2:30" x14ac:dyDescent="0.35">
      <c r="B433" s="2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2:30" x14ac:dyDescent="0.35">
      <c r="B434" s="2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2:30" x14ac:dyDescent="0.35">
      <c r="B435" s="2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2:30" x14ac:dyDescent="0.35">
      <c r="B436" s="2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2:30" x14ac:dyDescent="0.35">
      <c r="B437" s="2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2:30" x14ac:dyDescent="0.35">
      <c r="B438" s="2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2:30" x14ac:dyDescent="0.35">
      <c r="B439" s="2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2:30" x14ac:dyDescent="0.35">
      <c r="B440" s="2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2:30" x14ac:dyDescent="0.35">
      <c r="B441" s="2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2:30" x14ac:dyDescent="0.35">
      <c r="B442" s="2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2:30" x14ac:dyDescent="0.35">
      <c r="B443" s="2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2:30" x14ac:dyDescent="0.35">
      <c r="B444" s="2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2:30" x14ac:dyDescent="0.35">
      <c r="B445" s="2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2:30" x14ac:dyDescent="0.35">
      <c r="B446" s="2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2:30" x14ac:dyDescent="0.35">
      <c r="B447" s="2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2:30" x14ac:dyDescent="0.35">
      <c r="B448" s="2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2:30" x14ac:dyDescent="0.35">
      <c r="B449" s="2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2:30" x14ac:dyDescent="0.35">
      <c r="B450" s="2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2:30" x14ac:dyDescent="0.35">
      <c r="B451" s="2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2:30" x14ac:dyDescent="0.35">
      <c r="B452" s="2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2:30" x14ac:dyDescent="0.35">
      <c r="B453" s="2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2:30" x14ac:dyDescent="0.35">
      <c r="B454" s="2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2:30" x14ac:dyDescent="0.35">
      <c r="B455" s="2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2:30" x14ac:dyDescent="0.35">
      <c r="B456" s="2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2:30" x14ac:dyDescent="0.35">
      <c r="B457" s="2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2:30" x14ac:dyDescent="0.35">
      <c r="B458" s="2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2:30" x14ac:dyDescent="0.35">
      <c r="B459" s="2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2:30" x14ac:dyDescent="0.35">
      <c r="B460" s="2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2:30" x14ac:dyDescent="0.35">
      <c r="B461" s="2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2:30" x14ac:dyDescent="0.35">
      <c r="B462" s="2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2:30" x14ac:dyDescent="0.35">
      <c r="B463" s="2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2:30" x14ac:dyDescent="0.35">
      <c r="B464" s="2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2:30" x14ac:dyDescent="0.35">
      <c r="B465" s="2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2:30" x14ac:dyDescent="0.35">
      <c r="B466" s="2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2:30" x14ac:dyDescent="0.35">
      <c r="B467" s="2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2:30" x14ac:dyDescent="0.35">
      <c r="B468" s="2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2:30" x14ac:dyDescent="0.35">
      <c r="B469" s="2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2:30" x14ac:dyDescent="0.35">
      <c r="B470" s="2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2:30" x14ac:dyDescent="0.35">
      <c r="B471" s="2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2:30" x14ac:dyDescent="0.35">
      <c r="B472" s="2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2:30" x14ac:dyDescent="0.35">
      <c r="B473" s="2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2:30" x14ac:dyDescent="0.35">
      <c r="B474" s="2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2:30" x14ac:dyDescent="0.35">
      <c r="B475" s="2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2:30" x14ac:dyDescent="0.35">
      <c r="B476" s="2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2:30" x14ac:dyDescent="0.35">
      <c r="B477" s="2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2:30" x14ac:dyDescent="0.35">
      <c r="B478" s="2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2:30" x14ac:dyDescent="0.35">
      <c r="B479" s="2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2:30" x14ac:dyDescent="0.35">
      <c r="B480" s="2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2:30" x14ac:dyDescent="0.35">
      <c r="B481" s="2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2:30" x14ac:dyDescent="0.35">
      <c r="B482" s="2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2:30" x14ac:dyDescent="0.35">
      <c r="B483" s="2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2:30" x14ac:dyDescent="0.35">
      <c r="B484" s="2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2:30" x14ac:dyDescent="0.35">
      <c r="B485" s="2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2:30" x14ac:dyDescent="0.35">
      <c r="B486" s="2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2:30" x14ac:dyDescent="0.35">
      <c r="B487" s="2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2:30" x14ac:dyDescent="0.35">
      <c r="B488" s="2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2:30" x14ac:dyDescent="0.35">
      <c r="B489" s="2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2:30" x14ac:dyDescent="0.35">
      <c r="B490" s="2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2:30" x14ac:dyDescent="0.35">
      <c r="B491" s="2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2:30" x14ac:dyDescent="0.35">
      <c r="B492" s="2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2:30" x14ac:dyDescent="0.35">
      <c r="B493" s="2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2:30" x14ac:dyDescent="0.35">
      <c r="B494" s="2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2:30" x14ac:dyDescent="0.35">
      <c r="B495" s="2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2:30" x14ac:dyDescent="0.35">
      <c r="B496" s="2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2:30" x14ac:dyDescent="0.35">
      <c r="B497" s="2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2:30" x14ac:dyDescent="0.35">
      <c r="B498" s="2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2:30" x14ac:dyDescent="0.35">
      <c r="B499" s="2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2:30" x14ac:dyDescent="0.35">
      <c r="B500" s="2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</sheetData>
  <sheetProtection algorithmName="SHA-512" hashValue="Jc+vJJCjQhdDDb9RbtTSRXe1rJqX+5T7NxgDaWdzWHflAk9KEXQ7Ql4QBcK3drucPfw+sEvaRGfXIFUoC+jzQQ==" saltValue="DBUIgpZn0DimWJuGWvzNrQ==" spinCount="100000" sheet="1" objects="1" scenarios="1" formatCells="0" formatColumns="0"/>
  <mergeCells count="13">
    <mergeCell ref="F7:AD7"/>
    <mergeCell ref="F8:O8"/>
    <mergeCell ref="P8:AD8"/>
    <mergeCell ref="B1:T1"/>
    <mergeCell ref="B2:T2"/>
    <mergeCell ref="F4:G4"/>
    <mergeCell ref="H4:J4"/>
    <mergeCell ref="M4:N4"/>
    <mergeCell ref="B6:B9"/>
    <mergeCell ref="C6:C9"/>
    <mergeCell ref="D6:D9"/>
    <mergeCell ref="E6:E9"/>
    <mergeCell ref="F6:AD6"/>
  </mergeCells>
  <dataValidations count="5">
    <dataValidation type="textLength" operator="equal" allowBlank="1" showInputMessage="1" showErrorMessage="1" error="LA CCT NO CONTIENE 10 CARACTERES" sqref="C4" xr:uid="{47F4BD40-B204-4C18-9B6D-BC53738A4A01}">
      <formula1>10</formula1>
    </dataValidation>
    <dataValidation type="whole" allowBlank="1" showInputMessage="1" showErrorMessage="1" sqref="F501:AD605" xr:uid="{3A71AFFD-88F3-4E59-91C3-87CBE62D5BF2}">
      <formula1>0</formula1>
      <formula2>3</formula2>
    </dataValidation>
    <dataValidation type="whole" allowBlank="1" showInputMessage="1" showErrorMessage="1" error="0, 1, 2 o 3" prompt="0, 1, 2 o 3" sqref="F10:AD500" xr:uid="{F2CDC2A8-52F0-45EF-9AE3-86AECEC2357E}">
      <formula1>0</formula1>
      <formula2>3</formula2>
    </dataValidation>
    <dataValidation allowBlank="1" showInputMessage="1" showErrorMessage="1" prompt="H o M" sqref="D10:D500" xr:uid="{8AE426CE-16B0-48BC-A2C0-59A985CDDF3C}"/>
    <dataValidation allowBlank="1" showInputMessage="1" showErrorMessage="1" prompt="A-Z" sqref="E10:E500" xr:uid="{6A8EDFB2-50D0-4017-8487-F59843F44A11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44EB-72DC-4631-9C53-2D1771FED24C}">
  <dimension ref="A1:B20"/>
  <sheetViews>
    <sheetView showGridLines="0" tabSelected="1" zoomScale="80" zoomScaleNormal="80" workbookViewId="0">
      <selection activeCell="B7" sqref="B7"/>
    </sheetView>
  </sheetViews>
  <sheetFormatPr baseColWidth="10" defaultRowHeight="40.5" customHeight="1" x14ac:dyDescent="0.25"/>
  <cols>
    <col min="1" max="1" width="5.28515625" customWidth="1"/>
    <col min="2" max="2" width="187" customWidth="1"/>
  </cols>
  <sheetData>
    <row r="1" spans="1:2" ht="17.25" customHeight="1" x14ac:dyDescent="0.25"/>
    <row r="2" spans="1:2" ht="40.5" customHeight="1" x14ac:dyDescent="0.25">
      <c r="B2" s="38" t="s">
        <v>76</v>
      </c>
    </row>
    <row r="3" spans="1:2" ht="40.5" customHeight="1" x14ac:dyDescent="0.25">
      <c r="A3" s="34"/>
      <c r="B3" s="37" t="s">
        <v>87</v>
      </c>
    </row>
    <row r="4" spans="1:2" ht="40.5" customHeight="1" x14ac:dyDescent="0.25">
      <c r="B4" s="37" t="s">
        <v>82</v>
      </c>
    </row>
    <row r="5" spans="1:2" ht="40.5" customHeight="1" x14ac:dyDescent="0.25">
      <c r="B5" s="37" t="s">
        <v>77</v>
      </c>
    </row>
    <row r="6" spans="1:2" ht="40.5" customHeight="1" x14ac:dyDescent="0.25">
      <c r="B6" s="37" t="s">
        <v>78</v>
      </c>
    </row>
    <row r="7" spans="1:2" ht="42" x14ac:dyDescent="0.25">
      <c r="B7" s="37" t="s">
        <v>70</v>
      </c>
    </row>
    <row r="8" spans="1:2" ht="15.75" customHeight="1" x14ac:dyDescent="0.25">
      <c r="B8" s="36"/>
    </row>
    <row r="9" spans="1:2" ht="40.5" customHeight="1" x14ac:dyDescent="0.25">
      <c r="B9" s="38" t="s">
        <v>83</v>
      </c>
    </row>
    <row r="10" spans="1:2" ht="40.5" customHeight="1" x14ac:dyDescent="0.25">
      <c r="B10" s="37" t="s">
        <v>85</v>
      </c>
    </row>
    <row r="11" spans="1:2" ht="42" x14ac:dyDescent="0.25">
      <c r="B11" s="37" t="s">
        <v>79</v>
      </c>
    </row>
    <row r="12" spans="1:2" ht="40.5" customHeight="1" x14ac:dyDescent="0.25">
      <c r="B12" s="37" t="s">
        <v>80</v>
      </c>
    </row>
    <row r="13" spans="1:2" ht="15" customHeight="1" x14ac:dyDescent="0.25">
      <c r="B13" s="36"/>
    </row>
    <row r="14" spans="1:2" ht="40.5" customHeight="1" x14ac:dyDescent="0.25">
      <c r="B14" s="38" t="s">
        <v>71</v>
      </c>
    </row>
    <row r="15" spans="1:2" ht="40.5" customHeight="1" x14ac:dyDescent="0.25">
      <c r="B15" s="37" t="s">
        <v>72</v>
      </c>
    </row>
    <row r="16" spans="1:2" ht="40.5" customHeight="1" x14ac:dyDescent="0.25">
      <c r="B16" s="37" t="s">
        <v>73</v>
      </c>
    </row>
    <row r="17" spans="2:2" ht="40.5" customHeight="1" x14ac:dyDescent="0.25">
      <c r="B17" s="37" t="s">
        <v>74</v>
      </c>
    </row>
    <row r="18" spans="2:2" ht="40.5" customHeight="1" x14ac:dyDescent="0.25">
      <c r="B18" s="35" t="s">
        <v>81</v>
      </c>
    </row>
    <row r="19" spans="2:2" ht="40.5" customHeight="1" x14ac:dyDescent="0.25">
      <c r="B19" s="35" t="s">
        <v>84</v>
      </c>
    </row>
    <row r="20" spans="2:2" ht="40.5" customHeight="1" x14ac:dyDescent="0.25">
      <c r="B20" s="37" t="s">
        <v>75</v>
      </c>
    </row>
  </sheetData>
  <sheetProtection algorithmName="SHA-512" hashValue="0X5tJesVhKq0GEcZ5kGb6WBVTiK4r74bwW/3kmVtUH/Gv6ecCT+KxHhfMZBcpzumCmSSSN5xBwEgQJBJ399DCQ==" saltValue="xEip9olkDCMOocKB6dG1YQ==" spinCount="100000" sheet="1" formatCells="0" formatColumns="0"/>
  <hyperlinks>
    <hyperlink ref="B3" r:id="rId1" xr:uid="{998512BA-ED0F-4CD1-9C8C-C72849B5E2D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ESC</vt:lpstr>
      <vt:lpstr>PRIMERO</vt:lpstr>
      <vt:lpstr>SEGUNDO</vt:lpstr>
      <vt:lpstr>TERCERO</vt:lpstr>
      <vt:lpstr>CUARTO</vt:lpstr>
      <vt:lpstr>QUINTO</vt:lpstr>
      <vt:lpstr>SEXTO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OLMEDO HERNANDEZ</dc:creator>
  <cp:lastModifiedBy>JUAN PEDRO CRUZ GUZMAN</cp:lastModifiedBy>
  <cp:lastPrinted>2025-07-08T18:01:37Z</cp:lastPrinted>
  <dcterms:created xsi:type="dcterms:W3CDTF">2025-07-03T17:26:41Z</dcterms:created>
  <dcterms:modified xsi:type="dcterms:W3CDTF">2025-09-17T18:39:44Z</dcterms:modified>
</cp:coreProperties>
</file>